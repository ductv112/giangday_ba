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name val="Calibri"/>
      <b val="1"/>
      <color rgb="00FFFFFF"/>
      <sz val="11"/>
    </font>
    <font>
      <name val="Calibri"/>
      <i val="1"/>
      <color rgb="00999999"/>
      <sz val="10"/>
    </font>
    <font>
      <name val="Calibri"/>
      <b val="1"/>
      <color rgb="001A1A1A"/>
      <sz val="11"/>
    </font>
    <font>
      <b val="1"/>
    </font>
    <font>
      <b val="1"/>
      <color rgb="00D41B3F"/>
    </font>
  </fonts>
  <fills count="4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5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30" customHeight="1">
      <c r="A1" s="1" t="inlineStr">
        <is>
          <t>TPL-027 — Traceability Matrix</t>
        </is>
      </c>
    </row>
    <row r="2" ht="20" customHeight="1">
      <c r="A2" s="2" t="inlineStr">
        <is>
          <t>Truy vết từ Business → Test xuyên 5 cấp.</t>
        </is>
      </c>
    </row>
    <row r="4" ht="30" customHeight="1">
      <c r="A4" s="3" t="inlineStr">
        <is>
          <t>#</t>
        </is>
      </c>
      <c r="B4" s="3" t="inlineStr">
        <is>
          <t>BR ID</t>
        </is>
      </c>
      <c r="C4" s="3" t="inlineStr">
        <is>
          <t>BR Description</t>
        </is>
      </c>
      <c r="D4" s="3" t="inlineStr">
        <is>
          <t>US ID</t>
        </is>
      </c>
      <c r="E4" s="3" t="inlineStr">
        <is>
          <t>FR ID</t>
        </is>
      </c>
      <c r="F4" s="3" t="inlineStr">
        <is>
          <t>UC ID</t>
        </is>
      </c>
      <c r="G4" s="3" t="inlineStr">
        <is>
          <t>TC IDs</t>
        </is>
      </c>
    </row>
    <row r="5">
      <c r="A5" s="4" t="n">
        <v>1</v>
      </c>
      <c r="B5" s="4" t="inlineStr">
        <is>
          <t>BR-001</t>
        </is>
      </c>
      <c r="C5" s="4" t="inlineStr">
        <is>
          <t>Tăng 30% lượng đặt online</t>
        </is>
      </c>
      <c r="D5" s="4" t="inlineStr">
        <is>
          <t>US-042</t>
        </is>
      </c>
      <c r="E5" s="4" t="inlineStr">
        <is>
          <t>FR-018</t>
        </is>
      </c>
      <c r="F5" s="4" t="inlineStr">
        <is>
          <t>UC-005</t>
        </is>
      </c>
      <c r="G5" s="4" t="inlineStr">
        <is>
          <t>TC-042-01..08</t>
        </is>
      </c>
    </row>
    <row r="6">
      <c r="A6" s="4" t="n">
        <v>2</v>
      </c>
      <c r="B6" s="4" t="inlineStr">
        <is>
          <t>BR-001</t>
        </is>
      </c>
      <c r="C6" s="4" t="inlineStr">
        <is>
          <t>(cùng BR)</t>
        </is>
      </c>
      <c r="D6" s="4" t="inlineStr">
        <is>
          <t>US-043</t>
        </is>
      </c>
      <c r="E6" s="4" t="inlineStr">
        <is>
          <t>FR-019</t>
        </is>
      </c>
      <c r="F6" s="4" t="inlineStr">
        <is>
          <t>UC-006</t>
        </is>
      </c>
      <c r="G6" s="4" t="inlineStr">
        <is>
          <t>TC-043-01..05</t>
        </is>
      </c>
    </row>
    <row r="7">
      <c r="A7" s="4" t="n">
        <v>3</v>
      </c>
      <c r="B7" s="4" t="inlineStr">
        <is>
          <t>BR-002</t>
        </is>
      </c>
      <c r="C7" s="4" t="inlineStr">
        <is>
          <t>Giảm 50% thời gian admin</t>
        </is>
      </c>
      <c r="D7" s="4" t="inlineStr">
        <is>
          <t>US-044</t>
        </is>
      </c>
      <c r="E7" s="4" t="inlineStr">
        <is>
          <t>FR-020</t>
        </is>
      </c>
      <c r="F7" s="4" t="inlineStr">
        <is>
          <t>UC-007</t>
        </is>
      </c>
      <c r="G7" s="4" t="inlineStr">
        <is>
          <t>TC-044-01..06</t>
        </is>
      </c>
    </row>
    <row r="8">
      <c r="A8" s="4" t="n">
        <v>4</v>
      </c>
      <c r="B8" s="4" t="inlineStr">
        <is>
          <t>BR-002</t>
        </is>
      </c>
      <c r="C8" s="4" t="inlineStr">
        <is>
          <t>(cùng BR)</t>
        </is>
      </c>
      <c r="D8" s="4" t="inlineStr">
        <is>
          <t>US-045</t>
        </is>
      </c>
      <c r="E8" s="4" t="inlineStr">
        <is>
          <t>FR-020, FR-021</t>
        </is>
      </c>
      <c r="F8" s="4" t="inlineStr">
        <is>
          <t>UC-008</t>
        </is>
      </c>
      <c r="G8" s="4" t="inlineStr">
        <is>
          <t>TC-045-01..04</t>
        </is>
      </c>
    </row>
    <row r="9">
      <c r="A9" s="4" t="n">
        <v>5</v>
      </c>
      <c r="B9" s="4" t="inlineStr">
        <is>
          <t>BR-003</t>
        </is>
      </c>
      <c r="C9" s="4" t="inlineStr">
        <is>
          <t>NPS ≥ 8/10</t>
        </is>
      </c>
      <c r="D9" s="4" t="inlineStr">
        <is>
          <t>US-046</t>
        </is>
      </c>
      <c r="E9" s="4" t="inlineStr">
        <is>
          <t>FR-022</t>
        </is>
      </c>
      <c r="F9" s="4" t="inlineStr">
        <is>
          <t>UC-009</t>
        </is>
      </c>
      <c r="G9" s="4" t="inlineStr">
        <is>
          <t>TC-046-01..07</t>
        </is>
      </c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2">
      <c r="A52" s="6" t="inlineStr">
        <is>
          <t>STATISTICS</t>
        </is>
      </c>
    </row>
    <row r="53">
      <c r="B53" s="7" t="inlineStr">
        <is>
          <t>Số lượng BR</t>
        </is>
      </c>
      <c r="C53" s="8">
        <f>SUMPRODUCT((B5:B50&lt;&gt;"")/COUNTIF(B5:B50,B5:B50&amp;""))</f>
        <v/>
      </c>
    </row>
    <row r="54">
      <c r="B54" s="7" t="inlineStr">
        <is>
          <t>Số lượng US</t>
        </is>
      </c>
      <c r="C54" s="8">
        <f>COUNTA(D5:D50)</f>
        <v/>
      </c>
    </row>
    <row r="55">
      <c r="B55" s="7" t="inlineStr">
        <is>
          <t>Số lượng FR</t>
        </is>
      </c>
      <c r="C55" s="8">
        <f>COUNTA(E5:E50)</f>
        <v/>
      </c>
    </row>
    <row r="56">
      <c r="B56" s="7" t="inlineStr">
        <is>
          <t>Số lượng UC</t>
        </is>
      </c>
      <c r="C56" s="8">
        <f>COUNTA(F5:F50)</f>
        <v/>
      </c>
    </row>
    <row r="58">
      <c r="A58" s="6" t="inlineStr">
        <is>
          <t>COVERAGE CHECK</t>
        </is>
      </c>
    </row>
    <row r="59">
      <c r="A59" t="inlineStr">
        <is>
          <t>☐</t>
        </is>
      </c>
      <c r="B59" t="inlineStr">
        <is>
          <t>Mỗi BR có ≥ 1 US?</t>
        </is>
      </c>
    </row>
    <row r="60">
      <c r="A60" t="inlineStr">
        <is>
          <t>☐</t>
        </is>
      </c>
      <c r="B60" t="inlineStr">
        <is>
          <t>Mỗi US có ≥ 1 FR?</t>
        </is>
      </c>
    </row>
    <row r="61">
      <c r="A61" t="inlineStr">
        <is>
          <t>☐</t>
        </is>
      </c>
      <c r="B61" t="inlineStr">
        <is>
          <t>Mỗi FR có ≥ 1 UC (nếu phức tạp)?</t>
        </is>
      </c>
    </row>
    <row r="62">
      <c r="A62" t="inlineStr">
        <is>
          <t>☐</t>
        </is>
      </c>
      <c r="B62" t="inlineStr">
        <is>
          <t>Mỗi US/UC có ≥ 3 TC (positive + negative + edge)?</t>
        </is>
      </c>
    </row>
  </sheetData>
  <mergeCells count="8">
    <mergeCell ref="A58:G58"/>
    <mergeCell ref="A1:G1"/>
    <mergeCell ref="B59:G59"/>
    <mergeCell ref="B60:G60"/>
    <mergeCell ref="B61:G61"/>
    <mergeCell ref="A2:G2"/>
    <mergeCell ref="A52:G52"/>
    <mergeCell ref="B62:G62"/>
  </mergeCells>
  <pageMargins left="0.75" right="0.75" top="1" bottom="1" header="0.5" footer="0.5"/>
  <headerFooter>
    <oddHeader>&amp;L&amp;9 iPMAC · Khoá Ready for BA · TPL-027&amp;R&amp;9 Buổi 9 + 11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