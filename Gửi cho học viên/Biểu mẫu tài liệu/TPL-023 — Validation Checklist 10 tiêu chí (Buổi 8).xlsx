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b val="1"/>
      <color rgb="001A1A1A"/>
      <sz val="11"/>
    </font>
    <font>
      <b val="1"/>
      <color rgb="00008000"/>
    </font>
    <font>
      <b val="1"/>
      <color rgb="009C5700"/>
    </font>
    <font>
      <b val="1"/>
      <color rgb="00C00000"/>
    </font>
    <font>
      <b val="1"/>
    </font>
    <font>
      <b val="1"/>
      <color rgb="00D41B3F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9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3"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</font>
      <fill>
        <patternFill patternType="solid">
          <fgColor rgb="00FFEB9C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14" customWidth="1" min="3" max="3"/>
    <col width="30" customWidth="1" min="4" max="4"/>
    <col width="30" customWidth="1" min="5" max="5"/>
  </cols>
  <sheetData>
    <row r="1" ht="30" customHeight="1">
      <c r="A1" s="1" t="inlineStr">
        <is>
          <t>TPL-023 — Validation Checklist (10 tiêu chí)</t>
        </is>
      </c>
    </row>
    <row r="2" ht="20" customHeight="1">
      <c r="A2" s="2" t="inlineStr">
        <is>
          <t>Tích đủ 10 = SRS sẵn sàng cho dev.</t>
        </is>
      </c>
    </row>
    <row r="4" ht="30" customHeight="1">
      <c r="A4" s="3" t="inlineStr">
        <is>
          <t>#</t>
        </is>
      </c>
      <c r="B4" s="3" t="inlineStr">
        <is>
          <t>Tiêu chí</t>
        </is>
      </c>
      <c r="C4" s="3" t="inlineStr">
        <is>
          <t>Status</t>
        </is>
      </c>
      <c r="D4" s="3" t="inlineStr">
        <is>
          <t>Section/Evidence</t>
        </is>
      </c>
      <c r="E4" s="3" t="inlineStr">
        <is>
          <t>Note</t>
        </is>
      </c>
    </row>
    <row r="5" ht="30" customHeight="1">
      <c r="A5" s="4" t="n">
        <v>1</v>
      </c>
      <c r="B5" s="5" t="inlineStr">
        <is>
          <t>Có ID rõ cho mỗi yêu cầu (FR-001, NFR-002…)</t>
        </is>
      </c>
      <c r="C5" s="5" t="n"/>
      <c r="D5" s="5" t="n"/>
      <c r="E5" s="5" t="n"/>
    </row>
    <row r="6" ht="30" customHeight="1">
      <c r="A6" s="4" t="n">
        <v>2</v>
      </c>
      <c r="B6" s="5" t="inlineStr">
        <is>
          <t>Mỗi câu = 1 yêu cầu, không nhồi 2-3 thứ</t>
        </is>
      </c>
      <c r="C6" s="5" t="n"/>
      <c r="D6" s="5" t="n"/>
      <c r="E6" s="5" t="n"/>
    </row>
    <row r="7" ht="30" customHeight="1">
      <c r="A7" s="4" t="n">
        <v>3</v>
      </c>
      <c r="B7" s="5" t="inlineStr">
        <is>
          <t>Tránh từ mơ hồ ("nhanh", "thân thiện") — đo bằng số cụ thể</t>
        </is>
      </c>
      <c r="C7" s="5" t="n"/>
      <c r="D7" s="5" t="n"/>
      <c r="E7" s="5" t="n"/>
    </row>
    <row r="8" ht="30" customHeight="1">
      <c r="A8" s="4" t="n">
        <v>4</v>
      </c>
      <c r="B8" s="5" t="inlineStr">
        <is>
          <t>Có Acceptance Criteria Given-When-Then cho mỗi US</t>
        </is>
      </c>
      <c r="C8" s="5" t="n"/>
      <c r="D8" s="5" t="n"/>
      <c r="E8" s="5" t="n"/>
    </row>
    <row r="9" ht="30" customHeight="1">
      <c r="A9" s="4" t="n">
        <v>5</v>
      </c>
      <c r="B9" s="5" t="inlineStr">
        <is>
          <t>NFR đầy đủ 4 nhóm: Performance, Security, Usability, Reliability</t>
        </is>
      </c>
      <c r="C9" s="5" t="n"/>
      <c r="D9" s="5" t="n"/>
      <c r="E9" s="5" t="n"/>
    </row>
    <row r="10" ht="30" customHeight="1">
      <c r="A10" s="4" t="n">
        <v>6</v>
      </c>
      <c r="B10" s="5" t="inlineStr">
        <is>
          <t>Có tham chiếu wireframe / mockup / ERD link Figma</t>
        </is>
      </c>
      <c r="C10" s="5" t="n"/>
      <c r="D10" s="5" t="n"/>
      <c r="E10" s="5" t="n"/>
    </row>
    <row r="11" ht="30" customHeight="1">
      <c r="A11" s="4" t="n">
        <v>7</v>
      </c>
      <c r="B11" s="5" t="inlineStr">
        <is>
          <t>Glossary đã định nghĩa thuật ngữ chuyên ngành</t>
        </is>
      </c>
      <c r="C11" s="5" t="n"/>
      <c r="D11" s="5" t="n"/>
      <c r="E11" s="5" t="n"/>
    </row>
    <row r="12" ht="30" customHeight="1">
      <c r="A12" s="4" t="n">
        <v>8</v>
      </c>
      <c r="B12" s="5" t="inlineStr">
        <is>
          <t>Versioning + change log đã update</t>
        </is>
      </c>
      <c r="C12" s="5" t="n"/>
      <c r="D12" s="5" t="n"/>
      <c r="E12" s="5" t="n"/>
    </row>
    <row r="13" ht="30" customHeight="1">
      <c r="A13" s="4" t="n">
        <v>9</v>
      </c>
      <c r="B13" s="5" t="inlineStr">
        <is>
          <t>Đã review với ít nhất 1 BA khác (peer review)</t>
        </is>
      </c>
      <c r="C13" s="5" t="n"/>
      <c r="D13" s="5" t="n"/>
      <c r="E13" s="5" t="n"/>
    </row>
    <row r="14" ht="30" customHeight="1">
      <c r="A14" s="4" t="n">
        <v>10</v>
      </c>
      <c r="B14" s="5" t="inlineStr">
        <is>
          <t>Đã có sign-off từ stakeholder cấp quyết định</t>
        </is>
      </c>
      <c r="C14" s="5" t="n"/>
      <c r="D14" s="5" t="n"/>
      <c r="E14" s="5" t="n"/>
    </row>
    <row r="16">
      <c r="A16" s="6" t="inlineStr">
        <is>
          <t>SUMMARY</t>
        </is>
      </c>
    </row>
    <row r="17">
      <c r="B17" t="inlineStr">
        <is>
          <t>Pass count</t>
        </is>
      </c>
      <c r="C17" s="7">
        <f>COUNTIF(C5:C14,"Pass")</f>
        <v/>
      </c>
    </row>
    <row r="18">
      <c r="B18" t="inlineStr">
        <is>
          <t>Partial count</t>
        </is>
      </c>
      <c r="C18" s="8">
        <f>COUNTIF(C5:C14,"Partial")</f>
        <v/>
      </c>
    </row>
    <row r="19">
      <c r="B19" t="inlineStr">
        <is>
          <t>Fail count</t>
        </is>
      </c>
      <c r="C19" s="9">
        <f>COUNTIF(C5:C14,"Fail")</f>
        <v/>
      </c>
    </row>
    <row r="20">
      <c r="B20" s="10" t="inlineStr">
        <is>
          <t>Pass rate</t>
        </is>
      </c>
      <c r="C20" s="11">
        <f>COUNTIF(C5:C14,"Pass")/10</f>
        <v/>
      </c>
    </row>
    <row r="22">
      <c r="B22" s="10" t="inlineStr">
        <is>
          <t>Decision:</t>
        </is>
      </c>
      <c r="C22" s="12">
        <f>IF(C20=1,"✓ READY for dev",IF(C20&gt;=0.8,"⚠ Cần fix 1-2 mục","✗ Cần fix lớn"))</f>
        <v/>
      </c>
    </row>
  </sheetData>
  <mergeCells count="3">
    <mergeCell ref="A2:E2"/>
    <mergeCell ref="A16:E16"/>
    <mergeCell ref="A1:E1"/>
  </mergeCells>
  <conditionalFormatting sqref="C5:C14">
    <cfRule type="cellIs" priority="1" operator="equal" dxfId="0">
      <formula>"Pass"</formula>
    </cfRule>
    <cfRule type="cellIs" priority="2" operator="equal" dxfId="1">
      <formula>"Partial"</formula>
    </cfRule>
    <cfRule type="cellIs" priority="3" operator="equal" dxfId="2">
      <formula>"Fail"</formula>
    </cfRule>
  </conditionalFormatting>
  <dataValidations count="1">
    <dataValidation sqref="C5:C14" showDropDown="0" showInputMessage="0" showErrorMessage="0" allowBlank="1" type="list">
      <formula1>"Pass,Partial,Fail,N/A"</formula1>
    </dataValidation>
  </dataValidations>
  <pageMargins left="0.75" right="0.75" top="1" bottom="1" header="0.5" footer="0.5"/>
  <headerFooter>
    <oddHeader>&amp;L&amp;9 iPMAC · Khoá Ready for BA · TPL-023&amp;R&amp;9 Buổi 8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