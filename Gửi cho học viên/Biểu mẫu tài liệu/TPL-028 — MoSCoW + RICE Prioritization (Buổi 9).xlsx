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" sheetId="1" state="visible" r:id="rId1"/>
    <sheet xmlns:r="http://schemas.openxmlformats.org/officeDocument/2006/relationships" name="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D41B3F"/>
      <sz val="18"/>
    </font>
    <font>
      <name val="Calibri"/>
      <i val="1"/>
      <color rgb="006B6B6B"/>
      <sz val="11"/>
    </font>
    <font>
      <name val="Calibri"/>
      <b val="1"/>
      <color rgb="00FFFFFF"/>
      <sz val="11"/>
    </font>
    <font>
      <name val="Calibri"/>
      <i val="1"/>
      <color rgb="00999999"/>
      <sz val="10"/>
    </font>
    <font>
      <name val="Calibri"/>
      <b val="1"/>
      <color rgb="001A1A1A"/>
      <sz val="11"/>
    </font>
    <font>
      <b val="1"/>
    </font>
    <font>
      <name val="Calibri"/>
      <sz val="10"/>
    </font>
    <font>
      <b val="1"/>
      <color rgb="00D41B3F"/>
    </font>
  </fonts>
  <fills count="4">
    <fill>
      <patternFill/>
    </fill>
    <fill>
      <patternFill patternType="gray125"/>
    </fill>
    <fill>
      <patternFill patternType="solid">
        <fgColor rgb="00D41B3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left" vertical="center" wrapText="1"/>
    </xf>
    <xf numFmtId="164" fontId="8" fillId="0" borderId="1" applyAlignment="1" pivotButton="0" quotePrefix="0" xfId="0">
      <alignment horizontal="left" vertical="center" wrapText="1"/>
    </xf>
    <xf numFmtId="164" fontId="8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D41B3F"/>
        </patternFill>
      </fill>
    </dxf>
    <dxf>
      <font>
        <b val="1"/>
      </font>
      <fill>
        <patternFill patternType="solid">
          <fgColor rgb="00F4A460"/>
        </patternFill>
      </fill>
    </dxf>
    <dxf>
      <fill>
        <patternFill patternType="solid">
          <fgColor rgb="0087CE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35" customWidth="1" min="4" max="4"/>
  </cols>
  <sheetData>
    <row r="1" ht="30" customHeight="1">
      <c r="A1" s="1" t="inlineStr">
        <is>
          <t>TPL-028 — MoSCoW Prioritization</t>
        </is>
      </c>
    </row>
    <row r="2" ht="20" customHeight="1">
      <c r="A2" s="2" t="inlineStr">
        <is>
          <t>Phân loại 4 nhóm: MUST / SHOULD / COULD / WON'T.</t>
        </is>
      </c>
    </row>
    <row r="4" ht="30" customHeight="1">
      <c r="A4" s="3" t="inlineStr">
        <is>
          <t>US ID</t>
        </is>
      </c>
      <c r="B4" s="3" t="inlineStr">
        <is>
          <t>Tên User Story</t>
        </is>
      </c>
      <c r="C4" s="3" t="inlineStr">
        <is>
          <t>MoSCoW</t>
        </is>
      </c>
      <c r="D4" s="3" t="inlineStr">
        <is>
          <t>Lý do</t>
        </is>
      </c>
    </row>
    <row r="5">
      <c r="A5" s="4" t="inlineStr">
        <is>
          <t>US-042</t>
        </is>
      </c>
      <c r="B5" s="4" t="inlineStr">
        <is>
          <t>Quét QR cấp phát</t>
        </is>
      </c>
      <c r="C5" s="4" t="inlineStr">
        <is>
          <t>MUST</t>
        </is>
      </c>
      <c r="D5" s="4" t="inlineStr">
        <is>
          <t>Core feature — không có = không launch được</t>
        </is>
      </c>
    </row>
    <row r="6">
      <c r="A6" s="4" t="inlineStr">
        <is>
          <t>US-043</t>
        </is>
      </c>
      <c r="B6" s="4" t="inlineStr">
        <is>
          <t>Xem lịch sử cấp phát</t>
        </is>
      </c>
      <c r="C6" s="4" t="inlineStr">
        <is>
          <t>MUST</t>
        </is>
      </c>
      <c r="D6" s="4" t="inlineStr">
        <is>
          <t>Audit trail bắt buộc</t>
        </is>
      </c>
    </row>
    <row r="7">
      <c r="A7" s="4" t="inlineStr">
        <is>
          <t>US-044</t>
        </is>
      </c>
      <c r="B7" s="4" t="inlineStr">
        <is>
          <t>Notification email</t>
        </is>
      </c>
      <c r="C7" s="4" t="inlineStr">
        <is>
          <t>SHOULD</t>
        </is>
      </c>
      <c r="D7" s="4" t="inlineStr">
        <is>
          <t>Quan trọng nhưng có workaround</t>
        </is>
      </c>
    </row>
    <row r="8">
      <c r="A8" s="4" t="inlineStr">
        <is>
          <t>US-045</t>
        </is>
      </c>
      <c r="B8" s="4" t="inlineStr">
        <is>
          <t>Báo cáo tồn kho</t>
        </is>
      </c>
      <c r="C8" s="4" t="inlineStr">
        <is>
          <t>SHOULD</t>
        </is>
      </c>
      <c r="D8" s="4" t="inlineStr">
        <is>
          <t>Manager cần — tháng đầu có thể manual</t>
        </is>
      </c>
    </row>
    <row r="9">
      <c r="A9" s="4" t="inlineStr">
        <is>
          <t>US-046</t>
        </is>
      </c>
      <c r="B9" s="4" t="inlineStr">
        <is>
          <t>Cảnh báo license hết hạn</t>
        </is>
      </c>
      <c r="C9" s="4" t="inlineStr">
        <is>
          <t>COULD</t>
        </is>
      </c>
      <c r="D9" s="4" t="inlineStr">
        <is>
          <t>Nice to have — phase 2 OK</t>
        </is>
      </c>
    </row>
    <row r="10">
      <c r="A10" s="4" t="inlineStr">
        <is>
          <t>US-047</t>
        </is>
      </c>
      <c r="B10" s="4" t="inlineStr">
        <is>
          <t>Voice search thiết bị</t>
        </is>
      </c>
      <c r="C10" s="4" t="inlineStr">
        <is>
          <t>WON'T</t>
        </is>
      </c>
      <c r="D10" s="4" t="inlineStr">
        <is>
          <t>Phase sau, không cần phase này</t>
        </is>
      </c>
    </row>
    <row r="11">
      <c r="A11" s="5" t="n"/>
      <c r="B11" s="5" t="n"/>
      <c r="C11" s="5" t="n"/>
      <c r="D11" s="5" t="n"/>
    </row>
    <row r="12">
      <c r="A12" s="5" t="n"/>
      <c r="B12" s="5" t="n"/>
      <c r="C12" s="5" t="n"/>
      <c r="D12" s="5" t="n"/>
    </row>
    <row r="13">
      <c r="A13" s="5" t="n"/>
      <c r="B13" s="5" t="n"/>
      <c r="C13" s="5" t="n"/>
      <c r="D13" s="5" t="n"/>
    </row>
    <row r="14">
      <c r="A14" s="5" t="n"/>
      <c r="B14" s="5" t="n"/>
      <c r="C14" s="5" t="n"/>
      <c r="D14" s="5" t="n"/>
    </row>
    <row r="15">
      <c r="A15" s="5" t="n"/>
      <c r="B15" s="5" t="n"/>
      <c r="C15" s="5" t="n"/>
      <c r="D15" s="5" t="n"/>
    </row>
    <row r="16">
      <c r="A16" s="5" t="n"/>
      <c r="B16" s="5" t="n"/>
      <c r="C16" s="5" t="n"/>
      <c r="D16" s="5" t="n"/>
    </row>
    <row r="17">
      <c r="A17" s="5" t="n"/>
      <c r="B17" s="5" t="n"/>
      <c r="C17" s="5" t="n"/>
      <c r="D17" s="5" t="n"/>
    </row>
    <row r="18">
      <c r="A18" s="5" t="n"/>
      <c r="B18" s="5" t="n"/>
      <c r="C18" s="5" t="n"/>
      <c r="D18" s="5" t="n"/>
    </row>
    <row r="19">
      <c r="A19" s="5" t="n"/>
      <c r="B19" s="5" t="n"/>
      <c r="C19" s="5" t="n"/>
      <c r="D19" s="5" t="n"/>
    </row>
    <row r="20">
      <c r="A20" s="5" t="n"/>
      <c r="B20" s="5" t="n"/>
      <c r="C20" s="5" t="n"/>
      <c r="D20" s="5" t="n"/>
    </row>
    <row r="21">
      <c r="A21" s="5" t="n"/>
      <c r="B21" s="5" t="n"/>
      <c r="C21" s="5" t="n"/>
      <c r="D21" s="5" t="n"/>
    </row>
    <row r="22">
      <c r="A22" s="5" t="n"/>
      <c r="B22" s="5" t="n"/>
      <c r="C22" s="5" t="n"/>
      <c r="D22" s="5" t="n"/>
    </row>
    <row r="23">
      <c r="A23" s="5" t="n"/>
      <c r="B23" s="5" t="n"/>
      <c r="C23" s="5" t="n"/>
      <c r="D23" s="5" t="n"/>
    </row>
    <row r="24">
      <c r="A24" s="5" t="n"/>
      <c r="B24" s="5" t="n"/>
      <c r="C24" s="5" t="n"/>
      <c r="D24" s="5" t="n"/>
    </row>
    <row r="25">
      <c r="A25" s="5" t="n"/>
      <c r="B25" s="5" t="n"/>
      <c r="C25" s="5" t="n"/>
      <c r="D25" s="5" t="n"/>
    </row>
    <row r="26">
      <c r="A26" s="5" t="n"/>
      <c r="B26" s="5" t="n"/>
      <c r="C26" s="5" t="n"/>
      <c r="D26" s="5" t="n"/>
    </row>
    <row r="27">
      <c r="A27" s="5" t="n"/>
      <c r="B27" s="5" t="n"/>
      <c r="C27" s="5" t="n"/>
      <c r="D27" s="5" t="n"/>
    </row>
    <row r="28">
      <c r="A28" s="5" t="n"/>
      <c r="B28" s="5" t="n"/>
      <c r="C28" s="5" t="n"/>
      <c r="D28" s="5" t="n"/>
    </row>
    <row r="29">
      <c r="A29" s="5" t="n"/>
      <c r="B29" s="5" t="n"/>
      <c r="C29" s="5" t="n"/>
      <c r="D29" s="5" t="n"/>
    </row>
    <row r="32">
      <c r="A32" s="6" t="inlineStr">
        <is>
          <t>DISTRIBUTION</t>
        </is>
      </c>
    </row>
    <row r="33">
      <c r="A33" s="7" t="inlineStr">
        <is>
          <t>MUST</t>
        </is>
      </c>
      <c r="B33" s="8">
        <f>COUNTIF(C5:C30,"MUST")</f>
        <v/>
      </c>
    </row>
    <row r="34">
      <c r="A34" s="7" t="inlineStr">
        <is>
          <t>SHOULD</t>
        </is>
      </c>
      <c r="B34" s="8">
        <f>COUNTIF(C5:C30,"SHOULD")</f>
        <v/>
      </c>
    </row>
    <row r="35">
      <c r="A35" s="7" t="inlineStr">
        <is>
          <t>COULD</t>
        </is>
      </c>
      <c r="B35" s="8">
        <f>COUNTIF(C5:C30,"COULD")</f>
        <v/>
      </c>
    </row>
    <row r="36">
      <c r="A36" s="7" t="inlineStr">
        <is>
          <t>WON'T</t>
        </is>
      </c>
      <c r="B36" s="8">
        <f>COUNTIF(C5:C30,"WON'T")</f>
        <v/>
      </c>
    </row>
  </sheetData>
  <mergeCells count="3">
    <mergeCell ref="A1:D1"/>
    <mergeCell ref="A32:D32"/>
    <mergeCell ref="A2:D2"/>
  </mergeCells>
  <conditionalFormatting sqref="C5:C3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C5:C30" showDropDown="0" showInputMessage="0" showErrorMessage="0" allowBlank="1" type="list">
      <formula1>"MUST,SHOULD,COULD,WON'T"</formula1>
    </dataValidation>
  </dataValidations>
  <pageMargins left="0.75" right="0.75" top="1" bottom="1" header="0.5" footer="0.5"/>
  <headerFooter>
    <oddHeader>&amp;L&amp;9 iPMAC · Khoá Ready for BA · TPL-028&amp;R&amp;9 Buổi 9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4" customWidth="1" min="4" max="4"/>
    <col width="14" customWidth="1" min="5" max="5"/>
    <col width="12" customWidth="1" min="6" max="6"/>
    <col width="14" customWidth="1" min="7" max="7"/>
    <col width="25" customWidth="1" min="8" max="8"/>
  </cols>
  <sheetData>
    <row r="1" ht="30" customHeight="1">
      <c r="A1" s="1" t="inlineStr">
        <is>
          <t>RICE Score = (Reach × Impact × Confidence) / Effort</t>
        </is>
      </c>
    </row>
    <row r="2" ht="20" customHeight="1">
      <c r="A2" s="2" t="inlineStr">
        <is>
          <t>Đo backlog bằng số objective. Sort descending → ưu tiên cao trước.</t>
        </is>
      </c>
    </row>
    <row r="4" ht="30" customHeight="1">
      <c r="A4" s="3" t="inlineStr">
        <is>
          <t>US ID</t>
        </is>
      </c>
      <c r="B4" s="3" t="inlineStr">
        <is>
          <t>Tên</t>
        </is>
      </c>
      <c r="C4" s="3" t="inlineStr">
        <is>
          <t>Reach (users/qtr)</t>
        </is>
      </c>
      <c r="D4" s="3" t="inlineStr">
        <is>
          <t>Impact (0.25-3)</t>
        </is>
      </c>
      <c r="E4" s="3" t="inlineStr">
        <is>
          <t>Confidence (%)</t>
        </is>
      </c>
      <c r="F4" s="3" t="inlineStr">
        <is>
          <t>Effort (weeks)</t>
        </is>
      </c>
      <c r="G4" s="3" t="inlineStr">
        <is>
          <t>RICE Score</t>
        </is>
      </c>
      <c r="H4" s="3" t="inlineStr">
        <is>
          <t>Note</t>
        </is>
      </c>
    </row>
    <row r="5">
      <c r="A5" s="4" t="inlineStr">
        <is>
          <t>US-042</t>
        </is>
      </c>
      <c r="B5" s="4" t="inlineStr">
        <is>
          <t>Quét QR cấp phát</t>
        </is>
      </c>
      <c r="C5" s="9" t="n">
        <v>500</v>
      </c>
      <c r="D5" s="9" t="n">
        <v>3</v>
      </c>
      <c r="E5" s="9" t="n">
        <v>90</v>
      </c>
      <c r="F5" s="9" t="n">
        <v>1</v>
      </c>
      <c r="G5" s="10">
        <f>C5*D5*(E5/100)/F5</f>
        <v/>
      </c>
      <c r="H5" s="4" t="inlineStr">
        <is>
          <t>High value</t>
        </is>
      </c>
    </row>
    <row r="6">
      <c r="A6" s="4" t="inlineStr">
        <is>
          <t>US-046</t>
        </is>
      </c>
      <c r="B6" s="4" t="inlineStr">
        <is>
          <t>Cảnh báo license</t>
        </is>
      </c>
      <c r="C6" s="9" t="n">
        <v>50</v>
      </c>
      <c r="D6" s="9" t="n">
        <v>2</v>
      </c>
      <c r="E6" s="9" t="n">
        <v>70</v>
      </c>
      <c r="F6" s="9" t="n">
        <v>0.5</v>
      </c>
      <c r="G6" s="10">
        <f>C6*D6*(E6/100)/F6</f>
        <v/>
      </c>
      <c r="H6" s="4" t="inlineStr">
        <is>
          <t>Phase 2</t>
        </is>
      </c>
    </row>
    <row r="7">
      <c r="A7" s="4" t="inlineStr">
        <is>
          <t>US-047</t>
        </is>
      </c>
      <c r="B7" s="4" t="inlineStr">
        <is>
          <t>Voice search</t>
        </is>
      </c>
      <c r="C7" s="9" t="n">
        <v>5000</v>
      </c>
      <c r="D7" s="9" t="n">
        <v>0.25</v>
      </c>
      <c r="E7" s="9" t="n">
        <v>30</v>
      </c>
      <c r="F7" s="9" t="n">
        <v>3</v>
      </c>
      <c r="G7" s="10">
        <f>C7*D7*(E7/100)/F7</f>
        <v/>
      </c>
      <c r="H7" s="4" t="inlineStr">
        <is>
          <t>Low confidence</t>
        </is>
      </c>
    </row>
    <row r="8">
      <c r="A8" s="4" t="inlineStr">
        <is>
          <t>US-048</t>
        </is>
      </c>
      <c r="B8" s="4" t="inlineStr">
        <is>
          <t>Báo cáo Power BI</t>
        </is>
      </c>
      <c r="C8" s="9" t="n">
        <v>100</v>
      </c>
      <c r="D8" s="9" t="n">
        <v>1</v>
      </c>
      <c r="E8" s="9" t="n">
        <v>80</v>
      </c>
      <c r="F8" s="9" t="n">
        <v>2</v>
      </c>
      <c r="G8" s="10">
        <f>C8*D8*(E8/100)/F8</f>
        <v/>
      </c>
      <c r="H8" s="4" t="inlineStr">
        <is>
          <t>Manager request</t>
        </is>
      </c>
    </row>
    <row r="9">
      <c r="A9" s="5" t="n"/>
      <c r="B9" s="5" t="n"/>
      <c r="C9" s="5" t="n"/>
      <c r="D9" s="5" t="n"/>
      <c r="E9" s="5" t="n"/>
      <c r="F9" s="5" t="n"/>
      <c r="G9" s="11">
        <f>IFERROR(C9*D9*(E9/100)/F9,"")</f>
        <v/>
      </c>
      <c r="H9" s="5" t="n"/>
    </row>
    <row r="10">
      <c r="A10" s="5" t="n"/>
      <c r="B10" s="5" t="n"/>
      <c r="C10" s="5" t="n"/>
      <c r="D10" s="5" t="n"/>
      <c r="E10" s="5" t="n"/>
      <c r="F10" s="5" t="n"/>
      <c r="G10" s="11">
        <f>IFERROR(C10*D10*(E10/100)/F10,"")</f>
        <v/>
      </c>
      <c r="H10" s="5" t="n"/>
    </row>
    <row r="11">
      <c r="A11" s="5" t="n"/>
      <c r="B11" s="5" t="n"/>
      <c r="C11" s="5" t="n"/>
      <c r="D11" s="5" t="n"/>
      <c r="E11" s="5" t="n"/>
      <c r="F11" s="5" t="n"/>
      <c r="G11" s="11">
        <f>IFERROR(C11*D11*(E11/100)/F11,"")</f>
        <v/>
      </c>
      <c r="H11" s="5" t="n"/>
    </row>
    <row r="12">
      <c r="A12" s="5" t="n"/>
      <c r="B12" s="5" t="n"/>
      <c r="C12" s="5" t="n"/>
      <c r="D12" s="5" t="n"/>
      <c r="E12" s="5" t="n"/>
      <c r="F12" s="5" t="n"/>
      <c r="G12" s="11">
        <f>IFERROR(C12*D12*(E12/100)/F12,"")</f>
        <v/>
      </c>
      <c r="H12" s="5" t="n"/>
    </row>
    <row r="13">
      <c r="A13" s="5" t="n"/>
      <c r="B13" s="5" t="n"/>
      <c r="C13" s="5" t="n"/>
      <c r="D13" s="5" t="n"/>
      <c r="E13" s="5" t="n"/>
      <c r="F13" s="5" t="n"/>
      <c r="G13" s="11">
        <f>IFERROR(C13*D13*(E13/100)/F13,"")</f>
        <v/>
      </c>
      <c r="H13" s="5" t="n"/>
    </row>
    <row r="14">
      <c r="A14" s="5" t="n"/>
      <c r="B14" s="5" t="n"/>
      <c r="C14" s="5" t="n"/>
      <c r="D14" s="5" t="n"/>
      <c r="E14" s="5" t="n"/>
      <c r="F14" s="5" t="n"/>
      <c r="G14" s="11">
        <f>IFERROR(C14*D14*(E14/100)/F14,"")</f>
        <v/>
      </c>
      <c r="H14" s="5" t="n"/>
    </row>
    <row r="15">
      <c r="A15" s="5" t="n"/>
      <c r="B15" s="5" t="n"/>
      <c r="C15" s="5" t="n"/>
      <c r="D15" s="5" t="n"/>
      <c r="E15" s="5" t="n"/>
      <c r="F15" s="5" t="n"/>
      <c r="G15" s="11">
        <f>IFERROR(C15*D15*(E15/100)/F15,"")</f>
        <v/>
      </c>
      <c r="H15" s="5" t="n"/>
    </row>
    <row r="16">
      <c r="A16" s="5" t="n"/>
      <c r="B16" s="5" t="n"/>
      <c r="C16" s="5" t="n"/>
      <c r="D16" s="5" t="n"/>
      <c r="E16" s="5" t="n"/>
      <c r="F16" s="5" t="n"/>
      <c r="G16" s="11">
        <f>IFERROR(C16*D16*(E16/100)/F16,"")</f>
        <v/>
      </c>
      <c r="H16" s="5" t="n"/>
    </row>
    <row r="17">
      <c r="A17" s="5" t="n"/>
      <c r="B17" s="5" t="n"/>
      <c r="C17" s="5" t="n"/>
      <c r="D17" s="5" t="n"/>
      <c r="E17" s="5" t="n"/>
      <c r="F17" s="5" t="n"/>
      <c r="G17" s="11">
        <f>IFERROR(C17*D17*(E17/100)/F17,"")</f>
        <v/>
      </c>
      <c r="H17" s="5" t="n"/>
    </row>
    <row r="18">
      <c r="A18" s="5" t="n"/>
      <c r="B18" s="5" t="n"/>
      <c r="C18" s="5" t="n"/>
      <c r="D18" s="5" t="n"/>
      <c r="E18" s="5" t="n"/>
      <c r="F18" s="5" t="n"/>
      <c r="G18" s="11">
        <f>IFERROR(C18*D18*(E18/100)/F18,"")</f>
        <v/>
      </c>
      <c r="H18" s="5" t="n"/>
    </row>
    <row r="19">
      <c r="A19" s="5" t="n"/>
      <c r="B19" s="5" t="n"/>
      <c r="C19" s="5" t="n"/>
      <c r="D19" s="5" t="n"/>
      <c r="E19" s="5" t="n"/>
      <c r="F19" s="5" t="n"/>
      <c r="G19" s="11">
        <f>IFERROR(C19*D19*(E19/100)/F19,"")</f>
        <v/>
      </c>
      <c r="H19" s="5" t="n"/>
    </row>
    <row r="20">
      <c r="A20" s="5" t="n"/>
      <c r="B20" s="5" t="n"/>
      <c r="C20" s="5" t="n"/>
      <c r="D20" s="5" t="n"/>
      <c r="E20" s="5" t="n"/>
      <c r="F20" s="5" t="n"/>
      <c r="G20" s="11">
        <f>IFERROR(C20*D20*(E20/100)/F20,"")</f>
        <v/>
      </c>
      <c r="H20" s="5" t="n"/>
    </row>
    <row r="21">
      <c r="A21" s="5" t="n"/>
      <c r="B21" s="5" t="n"/>
      <c r="C21" s="5" t="n"/>
      <c r="D21" s="5" t="n"/>
      <c r="E21" s="5" t="n"/>
      <c r="F21" s="5" t="n"/>
      <c r="G21" s="11">
        <f>IFERROR(C21*D21*(E21/100)/F21,"")</f>
        <v/>
      </c>
      <c r="H21" s="5" t="n"/>
    </row>
    <row r="22">
      <c r="A22" s="5" t="n"/>
      <c r="B22" s="5" t="n"/>
      <c r="C22" s="5" t="n"/>
      <c r="D22" s="5" t="n"/>
      <c r="E22" s="5" t="n"/>
      <c r="F22" s="5" t="n"/>
      <c r="G22" s="11">
        <f>IFERROR(C22*D22*(E22/100)/F22,"")</f>
        <v/>
      </c>
      <c r="H22" s="5" t="n"/>
    </row>
    <row r="23">
      <c r="A23" s="5" t="n"/>
      <c r="B23" s="5" t="n"/>
      <c r="C23" s="5" t="n"/>
      <c r="D23" s="5" t="n"/>
      <c r="E23" s="5" t="n"/>
      <c r="F23" s="5" t="n"/>
      <c r="G23" s="11">
        <f>IFERROR(C23*D23*(E23/100)/F23,"")</f>
        <v/>
      </c>
      <c r="H23" s="5" t="n"/>
    </row>
    <row r="24">
      <c r="A24" s="5" t="n"/>
      <c r="B24" s="5" t="n"/>
      <c r="C24" s="5" t="n"/>
      <c r="D24" s="5" t="n"/>
      <c r="E24" s="5" t="n"/>
      <c r="F24" s="5" t="n"/>
      <c r="G24" s="11">
        <f>IFERROR(C24*D24*(E24/100)/F24,"")</f>
        <v/>
      </c>
      <c r="H24" s="5" t="n"/>
    </row>
    <row r="25">
      <c r="A25" s="5" t="n"/>
      <c r="B25" s="5" t="n"/>
      <c r="C25" s="5" t="n"/>
      <c r="D25" s="5" t="n"/>
      <c r="E25" s="5" t="n"/>
      <c r="F25" s="5" t="n"/>
      <c r="G25" s="11">
        <f>IFERROR(C25*D25*(E25/100)/F25,"")</f>
        <v/>
      </c>
      <c r="H25" s="5" t="n"/>
    </row>
    <row r="26">
      <c r="A26" s="5" t="n"/>
      <c r="B26" s="5" t="n"/>
      <c r="C26" s="5" t="n"/>
      <c r="D26" s="5" t="n"/>
      <c r="E26" s="5" t="n"/>
      <c r="F26" s="5" t="n"/>
      <c r="G26" s="11">
        <f>IFERROR(C26*D26*(E26/100)/F26,"")</f>
        <v/>
      </c>
      <c r="H26" s="5" t="n"/>
    </row>
    <row r="27">
      <c r="A27" s="5" t="n"/>
      <c r="B27" s="5" t="n"/>
      <c r="C27" s="5" t="n"/>
      <c r="D27" s="5" t="n"/>
      <c r="E27" s="5" t="n"/>
      <c r="F27" s="5" t="n"/>
      <c r="G27" s="11">
        <f>IFERROR(C27*D27*(E27/100)/F27,"")</f>
        <v/>
      </c>
      <c r="H27" s="5" t="n"/>
    </row>
    <row r="28">
      <c r="A28" s="5" t="n"/>
      <c r="B28" s="5" t="n"/>
      <c r="C28" s="5" t="n"/>
      <c r="D28" s="5" t="n"/>
      <c r="E28" s="5" t="n"/>
      <c r="F28" s="5" t="n"/>
      <c r="G28" s="11">
        <f>IFERROR(C28*D28*(E28/100)/F28,"")</f>
        <v/>
      </c>
      <c r="H28" s="5" t="n"/>
    </row>
    <row r="29">
      <c r="A29" s="5" t="n"/>
      <c r="B29" s="5" t="n"/>
      <c r="C29" s="5" t="n"/>
      <c r="D29" s="5" t="n"/>
      <c r="E29" s="5" t="n"/>
      <c r="F29" s="5" t="n"/>
      <c r="G29" s="11">
        <f>IFERROR(C29*D29*(E29/100)/F29,"")</f>
        <v/>
      </c>
      <c r="H29" s="5" t="n"/>
    </row>
    <row r="32">
      <c r="A32" s="6" t="inlineStr">
        <is>
          <t>HƯỚNG DẪN CHẤM</t>
        </is>
      </c>
    </row>
    <row r="33">
      <c r="A33" s="7" t="inlineStr">
        <is>
          <t>Reach</t>
        </is>
      </c>
      <c r="B33" t="inlineStr">
        <is>
          <t>Bao nhiêu user dùng tính năng/quarter (số tuyệt đối)</t>
        </is>
      </c>
    </row>
    <row r="34">
      <c r="A34" s="7" t="inlineStr">
        <is>
          <t>Impact</t>
        </is>
      </c>
      <c r="B34" t="inlineStr">
        <is>
          <t>3=Massive · 2=High · 1=Medium · 0.25=Low</t>
        </is>
      </c>
    </row>
    <row r="35">
      <c r="A35" s="7" t="inlineStr">
        <is>
          <t>Confidence</t>
        </is>
      </c>
      <c r="B35" t="inlineStr">
        <is>
          <t>100% = có data · 80% = research · 50% = đoán có cơ sở · 20% = đoán hoàn toàn</t>
        </is>
      </c>
    </row>
    <row r="36">
      <c r="A36" s="7" t="inlineStr">
        <is>
          <t>Effort</t>
        </is>
      </c>
      <c r="B36" t="inlineStr">
        <is>
          <t>Person-weeks dev (1 = 1 dev × 1 tuần)</t>
        </is>
      </c>
    </row>
  </sheetData>
  <mergeCells count="7">
    <mergeCell ref="B36:H36"/>
    <mergeCell ref="B35:H35"/>
    <mergeCell ref="A2:H2"/>
    <mergeCell ref="B33:H33"/>
    <mergeCell ref="A1:H1"/>
    <mergeCell ref="A32:H32"/>
    <mergeCell ref="B34:H34"/>
  </mergeCells>
  <conditionalFormatting sqref="G5:G30">
    <cfRule type="dataBar" priority="1">
      <dataBar>
        <cfvo type="min"/>
        <cfvo type="max"/>
        <color rgb="00D41B3F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2026-05-05T07:04:50Z</dcterms:created>
  <dcterms:modified xmlns:dcterms="http://purl.org/dc/terms/" xmlns:xsi="http://www.w3.org/2001/XMLSchema-instance" xsi:type="dcterms:W3CDTF">2026-05-05T07:04:50Z</dcterms:modified>
</cp:coreProperties>
</file>