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phamthuan/Documents/BA Foundation/Trung tâm bảo hành ABC/BTVN PHẠM THU AN APP+WEB ĐTĐL ABC/"/>
    </mc:Choice>
  </mc:AlternateContent>
  <xr:revisionPtr revIDLastSave="0" documentId="13_ncr:1_{C558F32E-544A-4843-B4E1-438D6846234F}" xr6:coauthVersionLast="47" xr6:coauthVersionMax="47" xr10:uidLastSave="{00000000-0000-0000-0000-000000000000}"/>
  <bookViews>
    <workbookView xWindow="0" yWindow="500" windowWidth="28800" windowHeight="17500" tabRatio="500" activeTab="1" xr2:uid="{00000000-000D-0000-FFFF-FFFF00000000}"/>
  </bookViews>
  <sheets>
    <sheet name="Master Plan" sheetId="1" r:id="rId1"/>
    <sheet name="Gantt Chart" sheetId="2" r:id="rId2"/>
  </sheets>
  <definedNames>
    <definedName name="_xlnm.Print_Area" localSheetId="1">'Gantt Chart'!$A$1:$V$48</definedName>
    <definedName name="_xlnm.Print_Titles" localSheetId="0">'Master Plan'!$5:$5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" i="1" l="1"/>
  <c r="G46" i="2"/>
  <c r="D46" i="2"/>
  <c r="C46" i="2"/>
  <c r="B46" i="2"/>
  <c r="A46" i="2"/>
  <c r="G45" i="2"/>
  <c r="D45" i="2"/>
  <c r="C45" i="2"/>
  <c r="B45" i="2"/>
  <c r="A45" i="2"/>
  <c r="G44" i="2"/>
  <c r="E44" i="2"/>
  <c r="F44" i="2" s="1"/>
  <c r="D44" i="2"/>
  <c r="C44" i="2"/>
  <c r="B44" i="2"/>
  <c r="A44" i="2"/>
  <c r="G43" i="2"/>
  <c r="E43" i="2"/>
  <c r="F43" i="2" s="1"/>
  <c r="D43" i="2"/>
  <c r="C43" i="2"/>
  <c r="B43" i="2"/>
  <c r="A43" i="2"/>
  <c r="G42" i="2"/>
  <c r="D42" i="2"/>
  <c r="C42" i="2"/>
  <c r="B42" i="2"/>
  <c r="A42" i="2"/>
  <c r="G41" i="2"/>
  <c r="D41" i="2"/>
  <c r="C41" i="2"/>
  <c r="B41" i="2"/>
  <c r="A41" i="2"/>
  <c r="G40" i="2"/>
  <c r="D40" i="2"/>
  <c r="C40" i="2"/>
  <c r="B40" i="2"/>
  <c r="A40" i="2"/>
  <c r="G39" i="2"/>
  <c r="D39" i="2"/>
  <c r="C39" i="2"/>
  <c r="B39" i="2"/>
  <c r="A39" i="2"/>
  <c r="G38" i="2"/>
  <c r="D38" i="2"/>
  <c r="C38" i="2"/>
  <c r="B38" i="2"/>
  <c r="A38" i="2"/>
  <c r="G37" i="2"/>
  <c r="D37" i="2"/>
  <c r="C37" i="2"/>
  <c r="B37" i="2"/>
  <c r="A37" i="2"/>
  <c r="G36" i="2"/>
  <c r="E36" i="2"/>
  <c r="F36" i="2" s="1"/>
  <c r="D36" i="2"/>
  <c r="C36" i="2"/>
  <c r="B36" i="2"/>
  <c r="A36" i="2"/>
  <c r="G35" i="2"/>
  <c r="E35" i="2"/>
  <c r="F35" i="2" s="1"/>
  <c r="D35" i="2"/>
  <c r="C35" i="2"/>
  <c r="B35" i="2"/>
  <c r="A35" i="2"/>
  <c r="G34" i="2"/>
  <c r="D34" i="2"/>
  <c r="C34" i="2"/>
  <c r="B34" i="2"/>
  <c r="A34" i="2"/>
  <c r="G33" i="2"/>
  <c r="D33" i="2"/>
  <c r="C33" i="2"/>
  <c r="B33" i="2"/>
  <c r="A33" i="2"/>
  <c r="G32" i="2"/>
  <c r="D32" i="2"/>
  <c r="C32" i="2"/>
  <c r="B32" i="2"/>
  <c r="A32" i="2"/>
  <c r="G31" i="2"/>
  <c r="D31" i="2"/>
  <c r="C31" i="2"/>
  <c r="B31" i="2"/>
  <c r="A31" i="2"/>
  <c r="G30" i="2"/>
  <c r="D30" i="2"/>
  <c r="C30" i="2"/>
  <c r="B30" i="2"/>
  <c r="A30" i="2"/>
  <c r="G29" i="2"/>
  <c r="D29" i="2"/>
  <c r="C29" i="2"/>
  <c r="B29" i="2"/>
  <c r="A29" i="2"/>
  <c r="G28" i="2"/>
  <c r="E28" i="2"/>
  <c r="F28" i="2" s="1"/>
  <c r="D28" i="2"/>
  <c r="C28" i="2"/>
  <c r="B28" i="2"/>
  <c r="A28" i="2"/>
  <c r="G27" i="2"/>
  <c r="E27" i="2"/>
  <c r="F27" i="2" s="1"/>
  <c r="D27" i="2"/>
  <c r="C27" i="2"/>
  <c r="B27" i="2"/>
  <c r="A27" i="2"/>
  <c r="G26" i="2"/>
  <c r="E26" i="2"/>
  <c r="F26" i="2" s="1"/>
  <c r="D26" i="2"/>
  <c r="C26" i="2"/>
  <c r="B26" i="2"/>
  <c r="A26" i="2"/>
  <c r="G25" i="2"/>
  <c r="D25" i="2"/>
  <c r="C25" i="2"/>
  <c r="B25" i="2"/>
  <c r="A25" i="2"/>
  <c r="G24" i="2"/>
  <c r="D24" i="2"/>
  <c r="C24" i="2"/>
  <c r="B24" i="2"/>
  <c r="A24" i="2"/>
  <c r="G23" i="2"/>
  <c r="D23" i="2"/>
  <c r="C23" i="2"/>
  <c r="B23" i="2"/>
  <c r="A23" i="2"/>
  <c r="G22" i="2"/>
  <c r="D22" i="2"/>
  <c r="C22" i="2"/>
  <c r="B22" i="2"/>
  <c r="A22" i="2"/>
  <c r="G21" i="2"/>
  <c r="D21" i="2"/>
  <c r="C21" i="2"/>
  <c r="B21" i="2"/>
  <c r="A21" i="2"/>
  <c r="G20" i="2"/>
  <c r="E20" i="2"/>
  <c r="F20" i="2" s="1"/>
  <c r="D20" i="2"/>
  <c r="C20" i="2"/>
  <c r="B20" i="2"/>
  <c r="A20" i="2"/>
  <c r="G19" i="2"/>
  <c r="E19" i="2"/>
  <c r="F19" i="2" s="1"/>
  <c r="D19" i="2"/>
  <c r="C19" i="2"/>
  <c r="B19" i="2"/>
  <c r="A19" i="2"/>
  <c r="G18" i="2"/>
  <c r="E18" i="2"/>
  <c r="F18" i="2" s="1"/>
  <c r="D18" i="2"/>
  <c r="C18" i="2"/>
  <c r="B18" i="2"/>
  <c r="A18" i="2"/>
  <c r="G17" i="2"/>
  <c r="D17" i="2"/>
  <c r="C17" i="2"/>
  <c r="B17" i="2"/>
  <c r="A17" i="2"/>
  <c r="G16" i="2"/>
  <c r="D16" i="2"/>
  <c r="C16" i="2"/>
  <c r="B16" i="2"/>
  <c r="A16" i="2"/>
  <c r="G15" i="2"/>
  <c r="D15" i="2"/>
  <c r="C15" i="2"/>
  <c r="B15" i="2"/>
  <c r="A15" i="2"/>
  <c r="G14" i="2"/>
  <c r="D14" i="2"/>
  <c r="C14" i="2"/>
  <c r="B14" i="2"/>
  <c r="A14" i="2"/>
  <c r="G13" i="2"/>
  <c r="D13" i="2"/>
  <c r="C13" i="2"/>
  <c r="B13" i="2"/>
  <c r="A13" i="2"/>
  <c r="G12" i="2"/>
  <c r="E12" i="2"/>
  <c r="F12" i="2" s="1"/>
  <c r="D12" i="2"/>
  <c r="C12" i="2"/>
  <c r="B12" i="2"/>
  <c r="A12" i="2"/>
  <c r="G11" i="2"/>
  <c r="E11" i="2"/>
  <c r="F11" i="2" s="1"/>
  <c r="D11" i="2"/>
  <c r="C11" i="2"/>
  <c r="B11" i="2"/>
  <c r="A11" i="2"/>
  <c r="G10" i="2"/>
  <c r="E10" i="2"/>
  <c r="F10" i="2" s="1"/>
  <c r="D10" i="2"/>
  <c r="C10" i="2"/>
  <c r="B10" i="2"/>
  <c r="A10" i="2"/>
  <c r="G9" i="2"/>
  <c r="D9" i="2"/>
  <c r="C9" i="2"/>
  <c r="B9" i="2"/>
  <c r="A9" i="2"/>
  <c r="G8" i="2"/>
  <c r="D8" i="2"/>
  <c r="C8" i="2"/>
  <c r="B8" i="2"/>
  <c r="A8" i="2"/>
  <c r="G7" i="2"/>
  <c r="D7" i="2"/>
  <c r="C7" i="2"/>
  <c r="B7" i="2"/>
  <c r="A7" i="2"/>
  <c r="G6" i="2"/>
  <c r="D6" i="2"/>
  <c r="C6" i="2"/>
  <c r="B6" i="2"/>
  <c r="A6" i="2"/>
  <c r="G5" i="2"/>
  <c r="D5" i="2"/>
  <c r="C5" i="2"/>
  <c r="B5" i="2"/>
  <c r="A5" i="2"/>
  <c r="H48" i="1"/>
  <c r="E46" i="2" s="1"/>
  <c r="F46" i="2" s="1"/>
  <c r="H47" i="1"/>
  <c r="E45" i="2" s="1"/>
  <c r="F45" i="2" s="1"/>
  <c r="H46" i="1"/>
  <c r="H45" i="1"/>
  <c r="H44" i="1"/>
  <c r="E42" i="2" s="1"/>
  <c r="F42" i="2" s="1"/>
  <c r="H43" i="1"/>
  <c r="E41" i="2" s="1"/>
  <c r="F41" i="2" s="1"/>
  <c r="H42" i="1"/>
  <c r="E40" i="2" s="1"/>
  <c r="F40" i="2" s="1"/>
  <c r="H41" i="1"/>
  <c r="E39" i="2" s="1"/>
  <c r="F39" i="2" s="1"/>
  <c r="H40" i="1"/>
  <c r="E38" i="2" s="1"/>
  <c r="F38" i="2" s="1"/>
  <c r="H39" i="1"/>
  <c r="E37" i="2" s="1"/>
  <c r="F37" i="2" s="1"/>
  <c r="H38" i="1"/>
  <c r="H37" i="1"/>
  <c r="H36" i="1"/>
  <c r="E34" i="2" s="1"/>
  <c r="F34" i="2" s="1"/>
  <c r="H35" i="1"/>
  <c r="E33" i="2" s="1"/>
  <c r="F33" i="2" s="1"/>
  <c r="H34" i="1"/>
  <c r="E32" i="2" s="1"/>
  <c r="F32" i="2" s="1"/>
  <c r="H33" i="1"/>
  <c r="E31" i="2" s="1"/>
  <c r="F31" i="2" s="1"/>
  <c r="H32" i="1"/>
  <c r="E30" i="2" s="1"/>
  <c r="F30" i="2" s="1"/>
  <c r="H31" i="1"/>
  <c r="E29" i="2" s="1"/>
  <c r="F29" i="2" s="1"/>
  <c r="H30" i="1"/>
  <c r="H29" i="1"/>
  <c r="H28" i="1"/>
  <c r="H27" i="1"/>
  <c r="E25" i="2" s="1"/>
  <c r="F25" i="2" s="1"/>
  <c r="H26" i="1"/>
  <c r="E24" i="2" s="1"/>
  <c r="F24" i="2" s="1"/>
  <c r="H25" i="1"/>
  <c r="E23" i="2" s="1"/>
  <c r="F23" i="2" s="1"/>
  <c r="H24" i="1"/>
  <c r="E22" i="2" s="1"/>
  <c r="F22" i="2" s="1"/>
  <c r="H23" i="1"/>
  <c r="E21" i="2" s="1"/>
  <c r="F21" i="2" s="1"/>
  <c r="H22" i="1"/>
  <c r="H21" i="1"/>
  <c r="H20" i="1"/>
  <c r="H19" i="1"/>
  <c r="E17" i="2" s="1"/>
  <c r="F17" i="2" s="1"/>
  <c r="H18" i="1"/>
  <c r="E16" i="2" s="1"/>
  <c r="F16" i="2" s="1"/>
  <c r="H17" i="1"/>
  <c r="E15" i="2" s="1"/>
  <c r="F15" i="2" s="1"/>
  <c r="H16" i="1"/>
  <c r="E14" i="2" s="1"/>
  <c r="F14" i="2" s="1"/>
  <c r="H15" i="1"/>
  <c r="E13" i="2" s="1"/>
  <c r="F13" i="2" s="1"/>
  <c r="H14" i="1"/>
  <c r="H13" i="1"/>
  <c r="H12" i="1"/>
  <c r="H11" i="1"/>
  <c r="E9" i="2" s="1"/>
  <c r="F9" i="2" s="1"/>
  <c r="H10" i="1"/>
  <c r="E8" i="2" s="1"/>
  <c r="F8" i="2" s="1"/>
  <c r="H9" i="1"/>
  <c r="E7" i="2" s="1"/>
  <c r="F7" i="2" s="1"/>
  <c r="H8" i="1"/>
  <c r="E6" i="2" s="1"/>
  <c r="F6" i="2" s="1"/>
  <c r="E5" i="2"/>
  <c r="F5" i="2" s="1"/>
  <c r="H23" i="2" l="1"/>
  <c r="I23" i="2" s="1"/>
  <c r="H8" i="2"/>
  <c r="I8" i="2" s="1"/>
  <c r="H24" i="2"/>
  <c r="I24" i="2" s="1"/>
  <c r="H9" i="2"/>
  <c r="I9" i="2" s="1"/>
  <c r="H33" i="2"/>
  <c r="I33" i="2" s="1"/>
  <c r="H26" i="2"/>
  <c r="I26" i="2" s="1"/>
  <c r="H7" i="2"/>
  <c r="I7" i="2" s="1"/>
  <c r="H31" i="2"/>
  <c r="I31" i="2"/>
  <c r="H28" i="2"/>
  <c r="I28" i="2" s="1"/>
  <c r="H16" i="2"/>
  <c r="I16" i="2"/>
  <c r="H32" i="2"/>
  <c r="I32" i="2" s="1"/>
  <c r="H18" i="2"/>
  <c r="I18" i="2" s="1"/>
  <c r="H17" i="2"/>
  <c r="I17" i="2" s="1"/>
  <c r="H25" i="2"/>
  <c r="I25" i="2"/>
  <c r="H41" i="2"/>
  <c r="I41" i="2" s="1"/>
  <c r="H12" i="2"/>
  <c r="I12" i="2" s="1"/>
  <c r="H27" i="2"/>
  <c r="I27" i="2" s="1"/>
  <c r="H36" i="2"/>
  <c r="I36" i="2" s="1"/>
  <c r="H34" i="2"/>
  <c r="I34" i="2" s="1"/>
  <c r="H42" i="2"/>
  <c r="I42" i="2" s="1"/>
  <c r="H5" i="2"/>
  <c r="I5" i="2" s="1"/>
  <c r="H11" i="2"/>
  <c r="I11" i="2" s="1"/>
  <c r="H35" i="2"/>
  <c r="I35" i="2" s="1"/>
  <c r="H44" i="2"/>
  <c r="I44" i="2" s="1"/>
  <c r="H37" i="2"/>
  <c r="I37" i="2" s="1"/>
  <c r="H43" i="2"/>
  <c r="I43" i="2" s="1"/>
  <c r="H15" i="2"/>
  <c r="I15" i="2" s="1"/>
  <c r="H39" i="2"/>
  <c r="I39" i="2"/>
  <c r="H40" i="2"/>
  <c r="I40" i="2" s="1"/>
  <c r="H20" i="2"/>
  <c r="I20" i="2" s="1"/>
  <c r="H13" i="2"/>
  <c r="I13" i="2" s="1"/>
  <c r="H21" i="2"/>
  <c r="I21" i="2" s="1"/>
  <c r="H29" i="2"/>
  <c r="I29" i="2" s="1"/>
  <c r="H45" i="2"/>
  <c r="I45" i="2" s="1"/>
  <c r="H10" i="2"/>
  <c r="I10" i="2" s="1"/>
  <c r="H6" i="2"/>
  <c r="I6" i="2"/>
  <c r="H14" i="2"/>
  <c r="I14" i="2"/>
  <c r="H22" i="2"/>
  <c r="I22" i="2"/>
  <c r="H30" i="2"/>
  <c r="I30" i="2" s="1"/>
  <c r="H38" i="2"/>
  <c r="I38" i="2" s="1"/>
  <c r="H46" i="2"/>
  <c r="I46" i="2" s="1"/>
  <c r="H19" i="2"/>
  <c r="I19" i="2" s="1"/>
</calcChain>
</file>

<file path=xl/sharedStrings.xml><?xml version="1.0" encoding="utf-8"?>
<sst xmlns="http://schemas.openxmlformats.org/spreadsheetml/2006/main" count="219" uniqueCount="157">
  <si>
    <t>MASTER PLAN DỰ ÁN – SỐ HOÁ QUY TRÌNH BẢO HÀNH – BẢO DƯỠNG ĐIỆN TỬ ĐIỆN LẠNH ABC</t>
  </si>
  <si>
    <t>Kế hoạch triển khai chi tiết  |  App Mobile Khách hàng &amp; Web Hệ thống Quản trị Trung tâm</t>
  </si>
  <si>
    <t>Go-live dự kiến: 13/01/2027</t>
  </si>
  <si>
    <t>Kết thúc bảo hành hỗ trợ: 12/04/2027</t>
  </si>
  <si>
    <t>STT</t>
  </si>
  <si>
    <t>GĐ</t>
  </si>
  <si>
    <t>Giai đoạn / Nhóm công việc</t>
  </si>
  <si>
    <t>Nội dung công việc triển khai</t>
  </si>
  <si>
    <t>Người phụ trách</t>
  </si>
  <si>
    <t>Ngày thực tế bắt đầu</t>
  </si>
  <si>
    <t>Kế hoạch lần 1</t>
  </si>
  <si>
    <t>Số ngày làm việc</t>
  </si>
  <si>
    <t>Kế hoạch lần …</t>
  </si>
  <si>
    <t>Đầu ra</t>
  </si>
  <si>
    <t>Ghi chú</t>
  </si>
  <si>
    <t>Tiến độ</t>
  </si>
  <si>
    <t>Trạng thái</t>
  </si>
  <si>
    <t>Khó khăn/ Rủi ro</t>
  </si>
  <si>
    <t>Đề xuất</t>
  </si>
  <si>
    <t>Ngày bắt đầu</t>
  </si>
  <si>
    <t>Ngày kết thúc</t>
  </si>
  <si>
    <t>Kickoff dự án</t>
  </si>
  <si>
    <t>Họp kickoff dự án với đầy đủ các bên</t>
  </si>
  <si>
    <t>PM, Toàn đội dự án, PC</t>
  </si>
  <si>
    <t>Biên bản kickoff, Project Charter, RACI</t>
  </si>
  <si>
    <t>Hoàn thành</t>
  </si>
  <si>
    <t>Khảo sát &amp; thu thập yêu cầu</t>
  </si>
  <si>
    <t>Lên kế hoạch khảo sát, chuẩn bị bảng câu hỏi</t>
  </si>
  <si>
    <t>PM, BA</t>
  </si>
  <si>
    <t>Kế hoạch khảo sát, bảng câu hỏi phỏng vấn</t>
  </si>
  <si>
    <t>Trễ hạn</t>
  </si>
  <si>
    <t>Phỏng vấn các bên liên quan (Quản lý, Tiếp nhận, Điều phối, Thủ kho, Thợ, Kế toán)</t>
  </si>
  <si>
    <t>BA</t>
  </si>
  <si>
    <t>Biên bản phỏng vấn từng bộ phận</t>
  </si>
  <si>
    <t>Đang thực hiện</t>
  </si>
  <si>
    <t>Khảo sát quy trình hiện tại, thu thập biểu mẫu/phiếu bảo hành</t>
  </si>
  <si>
    <t>Sơ đồ quy trình hiện tại (As-is Process Map)</t>
  </si>
  <si>
    <t>Chưa bắt đầu</t>
  </si>
  <si>
    <t>Tổng hợp báo cáo khảo sát &amp; danh sách yêu cầu sơ bộ</t>
  </si>
  <si>
    <t>Biên bản khảo sát, Requirement List sơ bộ</t>
  </si>
  <si>
    <t>Phân tích nghiệp vụ &amp; Thiết kế giải pháp</t>
  </si>
  <si>
    <t>Thiết kế quy trình nghiệp vụ mới (To-be / BPMN)</t>
  </si>
  <si>
    <t>Sơ đồ quy trình nghiệp vụ mới (BPMN)</t>
  </si>
  <si>
    <t>Thiết kế wireframe &amp; mockup UI/UX (App + Web)</t>
  </si>
  <si>
    <t>UI/UX Designer, BA</t>
  </si>
  <si>
    <t>Wireframe &amp; Mockup UI/UX</t>
  </si>
  <si>
    <t>Thiết kế mô hình dữ liệu (ERD)</t>
  </si>
  <si>
    <t>Technical Lead</t>
  </si>
  <si>
    <t>Sơ đồ dữ liệu ERD</t>
  </si>
  <si>
    <t>Phác thảo kiến trúc hệ thống tổng thể &amp; phân quyền người dùng</t>
  </si>
  <si>
    <t>Sơ đồ kiến trúc hệ thống (bản thiết kế nháp, dùng nội bộ)</t>
  </si>
  <si>
    <t>Soạn thảo tài liệu</t>
  </si>
  <si>
    <t>Soạn BRD (Business Requirement Document)</t>
  </si>
  <si>
    <t>Tài liệu BRD</t>
  </si>
  <si>
    <t>Soạn SRS &amp; Use case chi tiết</t>
  </si>
  <si>
    <t>Tài liệu SRS</t>
  </si>
  <si>
    <t>Hoàn thiện tài liệu UI/UX &amp; Prototype tương tác</t>
  </si>
  <si>
    <t>UI/UX Designer</t>
  </si>
  <si>
    <t>Prototype tương tác + tài liệu UI/UX</t>
  </si>
  <si>
    <t>Soạn tài liệu kiến trúc hệ thống &amp; API specification</t>
  </si>
  <si>
    <t>Tài liệu kiến trúc &amp; API spec</t>
  </si>
  <si>
    <t>Soạn kế hoạch kiểm thử tổng thể (Test Strategy)</t>
  </si>
  <si>
    <t>QA Lead</t>
  </si>
  <si>
    <t>Test Strategy</t>
  </si>
  <si>
    <t>Review &amp; Confirm tài liệu</t>
  </si>
  <si>
    <t>Trình bày tài liệu cho khách hàng &amp; các phòng ban liên quan</t>
  </si>
  <si>
    <t>Buổi trình bày tài liệu</t>
  </si>
  <si>
    <t>Thu thập góp ý &amp; chỉnh sửa (vòng 1)</t>
  </si>
  <si>
    <t>BA, Designer, Tech Lead</t>
  </si>
  <si>
    <t>Tài liệu bản chỉnh sửa vòng 1</t>
  </si>
  <si>
    <t>Thu thập góp ý &amp; chỉnh sửa (vòng 2 - nếu cần)</t>
  </si>
  <si>
    <t>Tài liệu bản chỉnh sửa vòng 2</t>
  </si>
  <si>
    <t>Khách hàng ký xác nhận (sign-off) tài liệu</t>
  </si>
  <si>
    <t>PM, Đại diện Trung tâm ABC</t>
  </si>
  <si>
    <t>Tài liệu final có chữ ký xác nhận</t>
  </si>
  <si>
    <t>Chuyển giao cho đội phát triển (Transfer)</t>
  </si>
  <si>
    <t>Bàn giao tài liệu, giải thích chi tiết cho Dev/QA/Designer Lead</t>
  </si>
  <si>
    <t>BA, Technical Lead</t>
  </si>
  <si>
    <t>Buổi bàn giao tài liệu</t>
  </si>
  <si>
    <t>Phân rã Epic → User Story, xây dựng Product Backlog</t>
  </si>
  <si>
    <t>BA, Dev Lead</t>
  </si>
  <si>
    <t>Product Backlog</t>
  </si>
  <si>
    <t>Chuẩn bị môi trường Dev/Staging, repository, CI/CD cơ bản</t>
  </si>
  <si>
    <t>Dev Lead</t>
  </si>
  <si>
    <t>Môi trường kỹ thuật sẵn sàng</t>
  </si>
  <si>
    <t>Ước lượng effort &amp; xác định velocity dự kiến</t>
  </si>
  <si>
    <t>Toàn đội Dev</t>
  </si>
  <si>
    <t>Backlog đã ước lượng story point</t>
  </si>
  <si>
    <t>Phát triển - Sprint 0 (Chuẩn bị)</t>
  </si>
  <si>
    <t>Setup hạ tầng, Design System, Authentication &amp; phân quyền cơ bản</t>
  </si>
  <si>
    <t>Đội Dev</t>
  </si>
  <si>
    <t>Hạ tầng kỹ thuật, module đăng nhập</t>
  </si>
  <si>
    <t>App: Đặt lịch bảo hành/bảo dưỡng | Web: Tiếp nhận đơn (từ App + walk-in)</t>
  </si>
  <si>
    <t>Increment Sprint 1 (demo cuối sprint)</t>
  </si>
  <si>
    <t>Web: Kỹ thuật đánh giá phương án sửa chữa &amp; lập báo giá  |  App: Khách hàng xem báo giá, xác nhận &amp; thanh toán (online / tiền mặt)</t>
  </si>
  <si>
    <t>Increment Sprint 2 (demo cuối sprint)</t>
  </si>
  <si>
    <t>Web: Điều phối thợ theo khu vực/lịch rảnh, hồ sơ &amp; chấm công thợ | App: Hiển thị trạng thái đơn real-time</t>
  </si>
  <si>
    <t>Increment Sprint 3 (demo cuối sprint)</t>
  </si>
  <si>
    <t>App: Theo dõi tiến độ chi tiết, lịch sử dịch vụ, thông báo | Web: Nhật ký xử lý đơn &amp; hồ sơ khách hàng (CRM)</t>
  </si>
  <si>
    <t>Increment Sprint 4 (demo cuối sprint)</t>
  </si>
  <si>
    <t>Web: Quản lý kho linh kiện (danh mục, tồn kho, nhập kho, cảnh báo tồn thấp)</t>
  </si>
  <si>
    <t>Increment Sprint 5 (demo cuối sprint)</t>
  </si>
  <si>
    <t>Web: Cấp phát linh kiện cho thợ, đối soát | App: Xem chi tiết linh kiện &amp; chi phí</t>
  </si>
  <si>
    <t>Increment Sprint 6 (demo cuối sprint)</t>
  </si>
  <si>
    <t>App: Đánh giá dịch vụ | Web: Dashboard báo cáo, quản trị người dùng/phân quyền, nhật ký hoạt động (audit log), KPI thợ</t>
  </si>
  <si>
    <t>Increment Sprint 7 (demo cuối sprint)</t>
  </si>
  <si>
    <t>Tối ưu hiệu năng, hoàn thiện UX, rà soát bảo mật, fix bug tồn đọng</t>
  </si>
  <si>
    <t>Đội Dev, QA</t>
  </si>
  <si>
    <t>Bản build ổn định, sẵn sàng SIT/UAT</t>
  </si>
  <si>
    <t>Kiểm thử hệ thống (SIT/UAT)</t>
  </si>
  <si>
    <t>SIT - Kiểm thử tích hợp App ↔ Backend ↔ Web</t>
  </si>
  <si>
    <t>QA</t>
  </si>
  <si>
    <t>Test Report SIT</t>
  </si>
  <si>
    <t>UAT - Người dùng thực tế thử nghiệm theo kịch bản</t>
  </si>
  <si>
    <t>QA, Đại diện Trung tâm ABC</t>
  </si>
  <si>
    <t>Bug Tracking Log, kịch bản UAT đã chạy</t>
  </si>
  <si>
    <t>Fix lỗi &amp; retest theo mức độ ưu tiên</t>
  </si>
  <si>
    <t>Bug đã fix &amp; retest</t>
  </si>
  <si>
    <t>Xác nhận UAT Pass từ khách hàng</t>
  </si>
  <si>
    <t>Đại diện Trung tâm ABC</t>
  </si>
  <si>
    <t>Biên bản xác nhận UAT Pass</t>
  </si>
  <si>
    <t>Bàn giao &amp; Nghiệm thu</t>
  </si>
  <si>
    <t>Triển khai lên môi trường Production (App Store/CH Play, Web hosting)</t>
  </si>
  <si>
    <t>Dev Lead, DevOps</t>
  </si>
  <si>
    <t>Hệ thống chạy chính thức (go-live)</t>
  </si>
  <si>
    <t>Đào tạo người dùng cho nhân viên Trung tâm ABC</t>
  </si>
  <si>
    <t>BA, PM</t>
  </si>
  <si>
    <t>Buổi đào tạo, tài liệu hướng dẫn</t>
  </si>
  <si>
    <t>Bàn giao tài liệu, mã nguồn, tài khoản quản trị</t>
  </si>
  <si>
    <t>Hồ sơ bàn giao đầy đủ</t>
  </si>
  <si>
    <t>Ký biên bản nghiệm thu</t>
  </si>
  <si>
    <t>Biên bản nghiệm thu</t>
  </si>
  <si>
    <t>Bảo hành &amp; Hỗ trợ vận hành</t>
  </si>
  <si>
    <t>Hỗ trợ kỹ thuật theo SLA cam kết (1-3 tháng bảo hành)</t>
  </si>
  <si>
    <t>SLA hỗ trợ vận hành</t>
  </si>
  <si>
    <t>Theo dõi vận hành thực tế, xử lý sự cố phát sinh</t>
  </si>
  <si>
    <t>PM, Đội Dev</t>
  </si>
  <si>
    <t>Báo cáo vận hành định kỳ</t>
  </si>
  <si>
    <t>Thu thập phản hồi người dùng, đề xuất kế hoạch Phase 2</t>
  </si>
  <si>
    <t>Đề xuất Phase 2</t>
  </si>
  <si>
    <t>•  Ngày bắt đầu dự án giả định là 13/07/2026 (Thứ Hai) — cần cập nhật lại theo ngày kickoff thực tế.</t>
  </si>
  <si>
    <t>•  Số ngày làm việc đã được tính theo ngày làm việc (Thứ 2 - Thứ 6), chưa trừ ngày lễ/Tết — cần điều chỉnh khi có lịch chính thức.</t>
  </si>
  <si>
    <t>•  Giai đoạn 7 (Phát triển) gồm 8 sprint chạy song song 2 sản phẩm App &amp; Web trong cùng sprint.</t>
  </si>
  <si>
    <t>•  Giai đoạn 10 (Bảo hành) mặc định 3 tháng sau go-live, có thể điều chỉnh theo hợp đồng.</t>
  </si>
  <si>
    <t>•  Cột 'Trạng thái' có thể chọn trực tiếp từ danh sách sổ xuống để cập nhật tiến độ thực tế trong quá trình triển khai.</t>
  </si>
  <si>
    <t>GANTT CHART — MASTER PLAN Dự án Số hoá Quy trình Bảo hành – Bảo dưỡng ABC</t>
  </si>
  <si>
    <t>Dữ liệu liên kết trực tiếp từ sheet 'Master Plan' — cập nhật ngày/trạng thái bên đó sẽ tự động phản ánh lại ở đây.</t>
  </si>
  <si>
    <t>Giai đoạn</t>
  </si>
  <si>
    <t>Công việc</t>
  </si>
  <si>
    <t>Bắt đầu</t>
  </si>
  <si>
    <t>Kết thúc</t>
  </si>
  <si>
    <t>Số ngày</t>
  </si>
  <si>
    <t>Tiến độ (%)</t>
  </si>
  <si>
    <t>Đã xong (ngày)</t>
  </si>
  <si>
    <t>Còn lại (ngày)</t>
  </si>
  <si>
    <t>Cách cập nhật: chỉ cần sửa cột 'Tiến độ' (N) và 'Trạng thái' (O) bên sheet 'Master Plan' khi công việc triển khai thực tế — phần tô đậm (đã xong) trong thanh Gantt sẽ tự động dài ra theo %. Nếu đổi lịch (cột G/I ngày bắt đầu/số ngày), độ dài thanh kế hoạch cũng tự cập nhật theo.</t>
  </si>
  <si>
    <t>Ngày bắt đầu dự án: 13/07/2026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</si>
</sst>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19" x14ac:knownFonts="1">
    <font>
      <sz val="11"/>
      <color theme="1"/>
      <name val="Calibri"/>
      <family val="2"/>
      <charset val="1"/>
    </font>
    <font>
      <b/>
      <sz val="15"/>
      <color rgb="FF1F4E5F"/>
      <name val="Arial"/>
      <family val="2"/>
      <charset val="1"/>
    </font>
    <font>
      <i/>
      <sz val="10.5"/>
      <color rgb="FF666666"/>
      <name val="Arial"/>
      <family val="2"/>
      <charset val="1"/>
    </font>
    <font>
      <b/>
      <sz val="10"/>
      <color rgb="FF1A1A1A"/>
      <name val="Arial"/>
      <family val="2"/>
      <charset val="1"/>
    </font>
    <font>
      <b/>
      <sz val="10.5"/>
      <color rgb="FFFFFFFF"/>
      <name val="Arial"/>
      <family val="2"/>
      <charset val="1"/>
    </font>
    <font>
      <sz val="10"/>
      <color rgb="FF1A1A1A"/>
      <name val="Arial"/>
      <family val="2"/>
      <charset val="1"/>
    </font>
    <font>
      <b/>
      <sz val="10"/>
      <color rgb="FF6B4C8A"/>
      <name val="Arial"/>
      <family val="2"/>
      <charset val="1"/>
    </font>
    <font>
      <b/>
      <sz val="10"/>
      <color rgb="FF1F4E5F"/>
      <name val="Arial"/>
      <family val="2"/>
      <charset val="1"/>
    </font>
    <font>
      <b/>
      <sz val="10"/>
      <color rgb="FF2E86AB"/>
      <name val="Arial"/>
      <family val="2"/>
      <charset val="1"/>
    </font>
    <font>
      <b/>
      <sz val="10"/>
      <color rgb="FF3E7C4A"/>
      <name val="Arial"/>
      <family val="2"/>
      <charset val="1"/>
    </font>
    <font>
      <b/>
      <sz val="10"/>
      <color rgb="FF8A6D3B"/>
      <name val="Arial"/>
      <family val="2"/>
      <charset val="1"/>
    </font>
    <font>
      <b/>
      <sz val="10"/>
      <color rgb="FFC0392B"/>
      <name val="Arial"/>
      <family val="2"/>
      <charset val="1"/>
    </font>
    <font>
      <i/>
      <sz val="9.5"/>
      <color rgb="FFFF0000"/>
      <name val="Arial"/>
      <family val="2"/>
      <charset val="1"/>
    </font>
    <font>
      <b/>
      <sz val="15"/>
      <color rgb="FF1F4E5F"/>
      <name val="Arial"/>
      <family val="2"/>
    </font>
    <font>
      <i/>
      <sz val="10"/>
      <color rgb="FF555555"/>
      <name val="Arial"/>
      <family val="2"/>
    </font>
    <font>
      <b/>
      <sz val="10.5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6B4C8A"/>
      <name val="Arial"/>
      <family val="2"/>
    </font>
    <font>
      <i/>
      <sz val="9.5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555555"/>
      </patternFill>
    </fill>
    <fill>
      <patternFill patternType="solid">
        <fgColor theme="9" tint="-0.499984740745262"/>
        <bgColor rgb="FF9C6500"/>
      </patternFill>
    </fill>
    <fill>
      <patternFill patternType="solid">
        <fgColor rgb="FFEAF2F5"/>
        <bgColor rgb="FFDCEE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15" fillId="2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vertical="center"/>
    </xf>
    <xf numFmtId="0" fontId="17" fillId="4" borderId="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vertical="center" wrapText="1"/>
    </xf>
    <xf numFmtId="164" fontId="16" fillId="4" borderId="2" xfId="0" applyNumberFormat="1" applyFont="1" applyFill="1" applyBorder="1" applyAlignment="1">
      <alignment vertical="center"/>
    </xf>
    <xf numFmtId="1" fontId="16" fillId="4" borderId="2" xfId="0" applyNumberFormat="1" applyFont="1" applyFill="1" applyBorder="1" applyAlignment="1">
      <alignment vertical="center"/>
    </xf>
    <xf numFmtId="9" fontId="16" fillId="4" borderId="2" xfId="0" applyNumberFormat="1" applyFont="1" applyFill="1" applyBorder="1" applyAlignment="1">
      <alignment vertical="center"/>
    </xf>
    <xf numFmtId="165" fontId="16" fillId="4" borderId="2" xfId="0" applyNumberFormat="1" applyFont="1" applyFill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164" fontId="16" fillId="0" borderId="2" xfId="0" applyNumberFormat="1" applyFont="1" applyBorder="1" applyAlignment="1">
      <alignment vertical="center"/>
    </xf>
    <xf numFmtId="1" fontId="16" fillId="0" borderId="2" xfId="0" applyNumberFormat="1" applyFont="1" applyBorder="1" applyAlignment="1">
      <alignment vertical="center"/>
    </xf>
    <xf numFmtId="9" fontId="16" fillId="0" borderId="2" xfId="0" applyNumberFormat="1" applyFont="1" applyBorder="1" applyAlignment="1">
      <alignment vertical="center"/>
    </xf>
    <xf numFmtId="165" fontId="16" fillId="0" borderId="2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1F4E5F"/>
      </font>
      <fill>
        <patternFill>
          <bgColor rgb="FFDCEEF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A6D3B"/>
      <rgbColor rgb="FF800080"/>
      <rgbColor rgb="FF2E86AB"/>
      <rgbColor rgb="FFCCCCCC"/>
      <rgbColor rgb="FF4F81BD"/>
      <rgbColor rgb="FF9999FF"/>
      <rgbColor rgb="FFC0392B"/>
      <rgbColor rgb="FFFFFFCC"/>
      <rgbColor rgb="FFDC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E7D32"/>
      <rgbColor rgb="FF0000FF"/>
      <rgbColor rgb="FF00CCFF"/>
      <rgbColor rgb="FFEAF2F5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9C6500"/>
      <rgbColor rgb="FF666666"/>
      <rgbColor rgb="FFB3B3B3"/>
      <rgbColor rgb="FF1F4E5F"/>
      <rgbColor rgb="FF3E7C4A"/>
      <rgbColor rgb="FF003300"/>
      <rgbColor rgb="FF333300"/>
      <rgbColor rgb="FF984807"/>
      <rgbColor rgb="FF6B4C8A"/>
      <rgbColor rgb="FF555555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Timeline dự án theo công việc (Gantt — tô đậm phần đã hoàn thành)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Chart'!$C$5:$C$46</c:f>
              <c:strCache>
                <c:ptCount val="42"/>
                <c:pt idx="0">
                  <c:v>Họp kickoff dự án với đầy đủ các bên</c:v>
                </c:pt>
                <c:pt idx="1">
                  <c:v>Lên kế hoạch khảo sát, chuẩn bị bảng câu hỏi</c:v>
                </c:pt>
                <c:pt idx="2">
                  <c:v>Phỏng vấn các bên liên quan (Quản lý, Tiếp nhận, Điều phối, Thủ kho, Thợ, Kế toán)</c:v>
                </c:pt>
                <c:pt idx="3">
                  <c:v>Khảo sát quy trình hiện tại, thu thập biểu mẫu/phiếu bảo hành</c:v>
                </c:pt>
                <c:pt idx="4">
                  <c:v>Tổng hợp báo cáo khảo sát &amp; danh sách yêu cầu sơ bộ</c:v>
                </c:pt>
                <c:pt idx="5">
                  <c:v>Thiết kế quy trình nghiệp vụ mới (To-be / BPMN)</c:v>
                </c:pt>
                <c:pt idx="6">
                  <c:v>Thiết kế wireframe &amp; mockup UI/UX (App + Web)</c:v>
                </c:pt>
                <c:pt idx="7">
                  <c:v>Thiết kế mô hình dữ liệu (ERD)</c:v>
                </c:pt>
                <c:pt idx="8">
                  <c:v>Phác thảo kiến trúc hệ thống tổng thể &amp; phân quyền người dùng</c:v>
                </c:pt>
                <c:pt idx="9">
                  <c:v>Soạn BRD (Business Requirement Document)</c:v>
                </c:pt>
                <c:pt idx="10">
                  <c:v>Soạn SRS &amp; Use case chi tiết</c:v>
                </c:pt>
                <c:pt idx="11">
                  <c:v>Hoàn thiện tài liệu UI/UX &amp; Prototype tương tác</c:v>
                </c:pt>
                <c:pt idx="12">
                  <c:v>Soạn tài liệu kiến trúc hệ thống &amp; API specification</c:v>
                </c:pt>
                <c:pt idx="13">
                  <c:v>Soạn kế hoạch kiểm thử tổng thể (Test Strategy)</c:v>
                </c:pt>
                <c:pt idx="14">
                  <c:v>Trình bày tài liệu cho khách hàng &amp; các phòng ban liên quan</c:v>
                </c:pt>
                <c:pt idx="15">
                  <c:v>Thu thập góp ý &amp; chỉnh sửa (vòng 1)</c:v>
                </c:pt>
                <c:pt idx="16">
                  <c:v>Thu thập góp ý &amp; chỉnh sửa (vòng 2 - nếu cần)</c:v>
                </c:pt>
                <c:pt idx="17">
                  <c:v>Khách hàng ký xác nhận (sign-off) tài liệu</c:v>
                </c:pt>
                <c:pt idx="18">
                  <c:v>Bàn giao tài liệu, giải thích chi tiết cho Dev/QA/Designer Lead</c:v>
                </c:pt>
                <c:pt idx="19">
                  <c:v>Phân rã Epic → User Story, xây dựng Product Backlog</c:v>
                </c:pt>
                <c:pt idx="20">
                  <c:v>Chuẩn bị môi trường Dev/Staging, repository, CI/CD cơ bản</c:v>
                </c:pt>
                <c:pt idx="21">
                  <c:v>Ước lượng effort &amp; xác định velocity dự kiến</c:v>
                </c:pt>
                <c:pt idx="22">
                  <c:v>Setup hạ tầng, Design System, Authentication &amp; phân quyền cơ bản</c:v>
                </c:pt>
                <c:pt idx="23">
                  <c:v>App: Đặt lịch bảo hành/bảo dưỡng | Web: Tiếp nhận đơn (từ App + walk-in)</c:v>
                </c:pt>
                <c:pt idx="24">
                  <c:v>Web: Kỹ thuật đánh giá phương án sửa chữa &amp; lập báo giá  |  App: Khách hàng xem báo giá, xác nhận &amp; thanh toán (online / tiền mặt)</c:v>
                </c:pt>
                <c:pt idx="25">
                  <c:v>Web: Điều phối thợ theo khu vực/lịch rảnh, hồ sơ &amp; chấm công thợ | App: Hiển thị trạng thái đơn real-time</c:v>
                </c:pt>
                <c:pt idx="26">
                  <c:v>App: Theo dõi tiến độ chi tiết, lịch sử dịch vụ, thông báo | Web: Nhật ký xử lý đơn &amp; hồ sơ khách hàng (CRM)</c:v>
                </c:pt>
                <c:pt idx="27">
                  <c:v>Web: Quản lý kho linh kiện (danh mục, tồn kho, nhập kho, cảnh báo tồn thấp)</c:v>
                </c:pt>
                <c:pt idx="28">
                  <c:v>Web: Cấp phát linh kiện cho thợ, đối soát | App: Xem chi tiết linh kiện &amp; chi phí</c:v>
                </c:pt>
                <c:pt idx="29">
                  <c:v>App: Đánh giá dịch vụ | Web: Dashboard báo cáo, quản trị người dùng/phân quyền, nhật ký hoạt động (audit log), KPI thợ</c:v>
                </c:pt>
                <c:pt idx="30">
                  <c:v>Tối ưu hiệu năng, hoàn thiện UX, rà soát bảo mật, fix bug tồn đọng</c:v>
                </c:pt>
                <c:pt idx="31">
                  <c:v>SIT - Kiểm thử tích hợp App ↔ Backend ↔ Web</c:v>
                </c:pt>
                <c:pt idx="32">
                  <c:v>UAT - Người dùng thực tế thử nghiệm theo kịch bản</c:v>
                </c:pt>
                <c:pt idx="33">
                  <c:v>Fix lỗi &amp; retest theo mức độ ưu tiên</c:v>
                </c:pt>
                <c:pt idx="34">
                  <c:v>Xác nhận UAT Pass từ khách hàng</c:v>
                </c:pt>
                <c:pt idx="35">
                  <c:v>Triển khai lên môi trường Production (App Store/CH Play, Web hosting)</c:v>
                </c:pt>
                <c:pt idx="36">
                  <c:v>Đào tạo người dùng cho nhân viên Trung tâm ABC</c:v>
                </c:pt>
                <c:pt idx="37">
                  <c:v>Bàn giao tài liệu, mã nguồn, tài khoản quản trị</c:v>
                </c:pt>
                <c:pt idx="38">
                  <c:v>Ký biên bản nghiệm thu</c:v>
                </c:pt>
                <c:pt idx="39">
                  <c:v>Hỗ trợ kỹ thuật theo SLA cam kết (1-3 tháng bảo hành)</c:v>
                </c:pt>
                <c:pt idx="40">
                  <c:v>Theo dõi vận hành thực tế, xử lý sự cố phát sinh</c:v>
                </c:pt>
                <c:pt idx="41">
                  <c:v>Thu thập phản hồi người dùng, đề xuất kế hoạch Phase 2</c:v>
                </c:pt>
              </c:strCache>
            </c:strRef>
          </c:cat>
          <c:val>
            <c:numRef>
              <c:f>'Gantt Chart'!$D$5:$D$46</c:f>
              <c:numCache>
                <c:formatCode>dd/mm/yyyy</c:formatCode>
                <c:ptCount val="42"/>
                <c:pt idx="0">
                  <c:v>46216</c:v>
                </c:pt>
                <c:pt idx="1">
                  <c:v>46216</c:v>
                </c:pt>
                <c:pt idx="2">
                  <c:v>46218</c:v>
                </c:pt>
                <c:pt idx="3">
                  <c:v>46218</c:v>
                </c:pt>
                <c:pt idx="4">
                  <c:v>46225</c:v>
                </c:pt>
                <c:pt idx="5">
                  <c:v>46230</c:v>
                </c:pt>
                <c:pt idx="6">
                  <c:v>46230</c:v>
                </c:pt>
                <c:pt idx="7">
                  <c:v>46233</c:v>
                </c:pt>
                <c:pt idx="8">
                  <c:v>46238</c:v>
                </c:pt>
                <c:pt idx="9">
                  <c:v>46244</c:v>
                </c:pt>
                <c:pt idx="10">
                  <c:v>46247</c:v>
                </c:pt>
                <c:pt idx="11">
                  <c:v>46244</c:v>
                </c:pt>
                <c:pt idx="12">
                  <c:v>46244</c:v>
                </c:pt>
                <c:pt idx="13">
                  <c:v>46247</c:v>
                </c:pt>
                <c:pt idx="14">
                  <c:v>46252</c:v>
                </c:pt>
                <c:pt idx="15">
                  <c:v>46253</c:v>
                </c:pt>
                <c:pt idx="16">
                  <c:v>46255</c:v>
                </c:pt>
                <c:pt idx="17">
                  <c:v>46259</c:v>
                </c:pt>
                <c:pt idx="18">
                  <c:v>46260</c:v>
                </c:pt>
                <c:pt idx="19">
                  <c:v>46261</c:v>
                </c:pt>
                <c:pt idx="20">
                  <c:v>46261</c:v>
                </c:pt>
                <c:pt idx="21">
                  <c:v>46264</c:v>
                </c:pt>
                <c:pt idx="22">
                  <c:v>46266</c:v>
                </c:pt>
                <c:pt idx="23">
                  <c:v>46273</c:v>
                </c:pt>
                <c:pt idx="24">
                  <c:v>46287</c:v>
                </c:pt>
                <c:pt idx="25">
                  <c:v>46301</c:v>
                </c:pt>
                <c:pt idx="26">
                  <c:v>46315</c:v>
                </c:pt>
                <c:pt idx="27">
                  <c:v>46329</c:v>
                </c:pt>
                <c:pt idx="28">
                  <c:v>46343</c:v>
                </c:pt>
                <c:pt idx="29">
                  <c:v>46357</c:v>
                </c:pt>
                <c:pt idx="30">
                  <c:v>46371</c:v>
                </c:pt>
                <c:pt idx="31">
                  <c:v>46385</c:v>
                </c:pt>
                <c:pt idx="32">
                  <c:v>46391</c:v>
                </c:pt>
                <c:pt idx="33">
                  <c:v>46393</c:v>
                </c:pt>
                <c:pt idx="34">
                  <c:v>46398</c:v>
                </c:pt>
                <c:pt idx="35">
                  <c:v>46399</c:v>
                </c:pt>
                <c:pt idx="36">
                  <c:v>46400</c:v>
                </c:pt>
                <c:pt idx="37">
                  <c:v>46404</c:v>
                </c:pt>
                <c:pt idx="38">
                  <c:v>46405</c:v>
                </c:pt>
                <c:pt idx="39">
                  <c:v>46406</c:v>
                </c:pt>
                <c:pt idx="40">
                  <c:v>46406</c:v>
                </c:pt>
                <c:pt idx="41">
                  <c:v>46468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4-CF4F-B4A0-A69518FC90FA}"/>
            </c:ext>
          </c:extLst>
        </c:ser>
        <c:ser>
          <c:idx val="1"/>
          <c:order val="1"/>
          <c:tx>
            <c:v>Đã hoàn thành</c:v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Chart'!$C$5:$C$46</c:f>
              <c:strCache>
                <c:ptCount val="42"/>
                <c:pt idx="0">
                  <c:v>Họp kickoff dự án với đầy đủ các bên</c:v>
                </c:pt>
                <c:pt idx="1">
                  <c:v>Lên kế hoạch khảo sát, chuẩn bị bảng câu hỏi</c:v>
                </c:pt>
                <c:pt idx="2">
                  <c:v>Phỏng vấn các bên liên quan (Quản lý, Tiếp nhận, Điều phối, Thủ kho, Thợ, Kế toán)</c:v>
                </c:pt>
                <c:pt idx="3">
                  <c:v>Khảo sát quy trình hiện tại, thu thập biểu mẫu/phiếu bảo hành</c:v>
                </c:pt>
                <c:pt idx="4">
                  <c:v>Tổng hợp báo cáo khảo sát &amp; danh sách yêu cầu sơ bộ</c:v>
                </c:pt>
                <c:pt idx="5">
                  <c:v>Thiết kế quy trình nghiệp vụ mới (To-be / BPMN)</c:v>
                </c:pt>
                <c:pt idx="6">
                  <c:v>Thiết kế wireframe &amp; mockup UI/UX (App + Web)</c:v>
                </c:pt>
                <c:pt idx="7">
                  <c:v>Thiết kế mô hình dữ liệu (ERD)</c:v>
                </c:pt>
                <c:pt idx="8">
                  <c:v>Phác thảo kiến trúc hệ thống tổng thể &amp; phân quyền người dùng</c:v>
                </c:pt>
                <c:pt idx="9">
                  <c:v>Soạn BRD (Business Requirement Document)</c:v>
                </c:pt>
                <c:pt idx="10">
                  <c:v>Soạn SRS &amp; Use case chi tiết</c:v>
                </c:pt>
                <c:pt idx="11">
                  <c:v>Hoàn thiện tài liệu UI/UX &amp; Prototype tương tác</c:v>
                </c:pt>
                <c:pt idx="12">
                  <c:v>Soạn tài liệu kiến trúc hệ thống &amp; API specification</c:v>
                </c:pt>
                <c:pt idx="13">
                  <c:v>Soạn kế hoạch kiểm thử tổng thể (Test Strategy)</c:v>
                </c:pt>
                <c:pt idx="14">
                  <c:v>Trình bày tài liệu cho khách hàng &amp; các phòng ban liên quan</c:v>
                </c:pt>
                <c:pt idx="15">
                  <c:v>Thu thập góp ý &amp; chỉnh sửa (vòng 1)</c:v>
                </c:pt>
                <c:pt idx="16">
                  <c:v>Thu thập góp ý &amp; chỉnh sửa (vòng 2 - nếu cần)</c:v>
                </c:pt>
                <c:pt idx="17">
                  <c:v>Khách hàng ký xác nhận (sign-off) tài liệu</c:v>
                </c:pt>
                <c:pt idx="18">
                  <c:v>Bàn giao tài liệu, giải thích chi tiết cho Dev/QA/Designer Lead</c:v>
                </c:pt>
                <c:pt idx="19">
                  <c:v>Phân rã Epic → User Story, xây dựng Product Backlog</c:v>
                </c:pt>
                <c:pt idx="20">
                  <c:v>Chuẩn bị môi trường Dev/Staging, repository, CI/CD cơ bản</c:v>
                </c:pt>
                <c:pt idx="21">
                  <c:v>Ước lượng effort &amp; xác định velocity dự kiến</c:v>
                </c:pt>
                <c:pt idx="22">
                  <c:v>Setup hạ tầng, Design System, Authentication &amp; phân quyền cơ bản</c:v>
                </c:pt>
                <c:pt idx="23">
                  <c:v>App: Đặt lịch bảo hành/bảo dưỡng | Web: Tiếp nhận đơn (từ App + walk-in)</c:v>
                </c:pt>
                <c:pt idx="24">
                  <c:v>Web: Kỹ thuật đánh giá phương án sửa chữa &amp; lập báo giá  |  App: Khách hàng xem báo giá, xác nhận &amp; thanh toán (online / tiền mặt)</c:v>
                </c:pt>
                <c:pt idx="25">
                  <c:v>Web: Điều phối thợ theo khu vực/lịch rảnh, hồ sơ &amp; chấm công thợ | App: Hiển thị trạng thái đơn real-time</c:v>
                </c:pt>
                <c:pt idx="26">
                  <c:v>App: Theo dõi tiến độ chi tiết, lịch sử dịch vụ, thông báo | Web: Nhật ký xử lý đơn &amp; hồ sơ khách hàng (CRM)</c:v>
                </c:pt>
                <c:pt idx="27">
                  <c:v>Web: Quản lý kho linh kiện (danh mục, tồn kho, nhập kho, cảnh báo tồn thấp)</c:v>
                </c:pt>
                <c:pt idx="28">
                  <c:v>Web: Cấp phát linh kiện cho thợ, đối soát | App: Xem chi tiết linh kiện &amp; chi phí</c:v>
                </c:pt>
                <c:pt idx="29">
                  <c:v>App: Đánh giá dịch vụ | Web: Dashboard báo cáo, quản trị người dùng/phân quyền, nhật ký hoạt động (audit log), KPI thợ</c:v>
                </c:pt>
                <c:pt idx="30">
                  <c:v>Tối ưu hiệu năng, hoàn thiện UX, rà soát bảo mật, fix bug tồn đọng</c:v>
                </c:pt>
                <c:pt idx="31">
                  <c:v>SIT - Kiểm thử tích hợp App ↔ Backend ↔ Web</c:v>
                </c:pt>
                <c:pt idx="32">
                  <c:v>UAT - Người dùng thực tế thử nghiệm theo kịch bản</c:v>
                </c:pt>
                <c:pt idx="33">
                  <c:v>Fix lỗi &amp; retest theo mức độ ưu tiên</c:v>
                </c:pt>
                <c:pt idx="34">
                  <c:v>Xác nhận UAT Pass từ khách hàng</c:v>
                </c:pt>
                <c:pt idx="35">
                  <c:v>Triển khai lên môi trường Production (App Store/CH Play, Web hosting)</c:v>
                </c:pt>
                <c:pt idx="36">
                  <c:v>Đào tạo người dùng cho nhân viên Trung tâm ABC</c:v>
                </c:pt>
                <c:pt idx="37">
                  <c:v>Bàn giao tài liệu, mã nguồn, tài khoản quản trị</c:v>
                </c:pt>
                <c:pt idx="38">
                  <c:v>Ký biên bản nghiệm thu</c:v>
                </c:pt>
                <c:pt idx="39">
                  <c:v>Hỗ trợ kỹ thuật theo SLA cam kết (1-3 tháng bảo hành)</c:v>
                </c:pt>
                <c:pt idx="40">
                  <c:v>Theo dõi vận hành thực tế, xử lý sự cố phát sinh</c:v>
                </c:pt>
                <c:pt idx="41">
                  <c:v>Thu thập phản hồi người dùng, đề xuất kế hoạch Phase 2</c:v>
                </c:pt>
              </c:strCache>
            </c:strRef>
          </c:cat>
          <c:val>
            <c:numRef>
              <c:f>'Gantt Chart'!$H$5:$H$46</c:f>
              <c:numCache>
                <c:formatCode>0.0</c:formatCode>
                <c:ptCount val="42"/>
                <c:pt idx="0">
                  <c:v>1</c:v>
                </c:pt>
                <c:pt idx="1">
                  <c:v>1.6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4-CF4F-B4A0-A69518FC90FA}"/>
            </c:ext>
          </c:extLst>
        </c:ser>
        <c:ser>
          <c:idx val="2"/>
          <c:order val="2"/>
          <c:tx>
            <c:v>Còn lại theo kế hoạch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Chart'!$C$5:$C$46</c:f>
              <c:strCache>
                <c:ptCount val="42"/>
                <c:pt idx="0">
                  <c:v>Họp kickoff dự án với đầy đủ các bên</c:v>
                </c:pt>
                <c:pt idx="1">
                  <c:v>Lên kế hoạch khảo sát, chuẩn bị bảng câu hỏi</c:v>
                </c:pt>
                <c:pt idx="2">
                  <c:v>Phỏng vấn các bên liên quan (Quản lý, Tiếp nhận, Điều phối, Thủ kho, Thợ, Kế toán)</c:v>
                </c:pt>
                <c:pt idx="3">
                  <c:v>Khảo sát quy trình hiện tại, thu thập biểu mẫu/phiếu bảo hành</c:v>
                </c:pt>
                <c:pt idx="4">
                  <c:v>Tổng hợp báo cáo khảo sát &amp; danh sách yêu cầu sơ bộ</c:v>
                </c:pt>
                <c:pt idx="5">
                  <c:v>Thiết kế quy trình nghiệp vụ mới (To-be / BPMN)</c:v>
                </c:pt>
                <c:pt idx="6">
                  <c:v>Thiết kế wireframe &amp; mockup UI/UX (App + Web)</c:v>
                </c:pt>
                <c:pt idx="7">
                  <c:v>Thiết kế mô hình dữ liệu (ERD)</c:v>
                </c:pt>
                <c:pt idx="8">
                  <c:v>Phác thảo kiến trúc hệ thống tổng thể &amp; phân quyền người dùng</c:v>
                </c:pt>
                <c:pt idx="9">
                  <c:v>Soạn BRD (Business Requirement Document)</c:v>
                </c:pt>
                <c:pt idx="10">
                  <c:v>Soạn SRS &amp; Use case chi tiết</c:v>
                </c:pt>
                <c:pt idx="11">
                  <c:v>Hoàn thiện tài liệu UI/UX &amp; Prototype tương tác</c:v>
                </c:pt>
                <c:pt idx="12">
                  <c:v>Soạn tài liệu kiến trúc hệ thống &amp; API specification</c:v>
                </c:pt>
                <c:pt idx="13">
                  <c:v>Soạn kế hoạch kiểm thử tổng thể (Test Strategy)</c:v>
                </c:pt>
                <c:pt idx="14">
                  <c:v>Trình bày tài liệu cho khách hàng &amp; các phòng ban liên quan</c:v>
                </c:pt>
                <c:pt idx="15">
                  <c:v>Thu thập góp ý &amp; chỉnh sửa (vòng 1)</c:v>
                </c:pt>
                <c:pt idx="16">
                  <c:v>Thu thập góp ý &amp; chỉnh sửa (vòng 2 - nếu cần)</c:v>
                </c:pt>
                <c:pt idx="17">
                  <c:v>Khách hàng ký xác nhận (sign-off) tài liệu</c:v>
                </c:pt>
                <c:pt idx="18">
                  <c:v>Bàn giao tài liệu, giải thích chi tiết cho Dev/QA/Designer Lead</c:v>
                </c:pt>
                <c:pt idx="19">
                  <c:v>Phân rã Epic → User Story, xây dựng Product Backlog</c:v>
                </c:pt>
                <c:pt idx="20">
                  <c:v>Chuẩn bị môi trường Dev/Staging, repository, CI/CD cơ bản</c:v>
                </c:pt>
                <c:pt idx="21">
                  <c:v>Ước lượng effort &amp; xác định velocity dự kiến</c:v>
                </c:pt>
                <c:pt idx="22">
                  <c:v>Setup hạ tầng, Design System, Authentication &amp; phân quyền cơ bản</c:v>
                </c:pt>
                <c:pt idx="23">
                  <c:v>App: Đặt lịch bảo hành/bảo dưỡng | Web: Tiếp nhận đơn (từ App + walk-in)</c:v>
                </c:pt>
                <c:pt idx="24">
                  <c:v>Web: Kỹ thuật đánh giá phương án sửa chữa &amp; lập báo giá  |  App: Khách hàng xem báo giá, xác nhận &amp; thanh toán (online / tiền mặt)</c:v>
                </c:pt>
                <c:pt idx="25">
                  <c:v>Web: Điều phối thợ theo khu vực/lịch rảnh, hồ sơ &amp; chấm công thợ | App: Hiển thị trạng thái đơn real-time</c:v>
                </c:pt>
                <c:pt idx="26">
                  <c:v>App: Theo dõi tiến độ chi tiết, lịch sử dịch vụ, thông báo | Web: Nhật ký xử lý đơn &amp; hồ sơ khách hàng (CRM)</c:v>
                </c:pt>
                <c:pt idx="27">
                  <c:v>Web: Quản lý kho linh kiện (danh mục, tồn kho, nhập kho, cảnh báo tồn thấp)</c:v>
                </c:pt>
                <c:pt idx="28">
                  <c:v>Web: Cấp phát linh kiện cho thợ, đối soát | App: Xem chi tiết linh kiện &amp; chi phí</c:v>
                </c:pt>
                <c:pt idx="29">
                  <c:v>App: Đánh giá dịch vụ | Web: Dashboard báo cáo, quản trị người dùng/phân quyền, nhật ký hoạt động (audit log), KPI thợ</c:v>
                </c:pt>
                <c:pt idx="30">
                  <c:v>Tối ưu hiệu năng, hoàn thiện UX, rà soát bảo mật, fix bug tồn đọng</c:v>
                </c:pt>
                <c:pt idx="31">
                  <c:v>SIT - Kiểm thử tích hợp App ↔ Backend ↔ Web</c:v>
                </c:pt>
                <c:pt idx="32">
                  <c:v>UAT - Người dùng thực tế thử nghiệm theo kịch bản</c:v>
                </c:pt>
                <c:pt idx="33">
                  <c:v>Fix lỗi &amp; retest theo mức độ ưu tiên</c:v>
                </c:pt>
                <c:pt idx="34">
                  <c:v>Xác nhận UAT Pass từ khách hàng</c:v>
                </c:pt>
                <c:pt idx="35">
                  <c:v>Triển khai lên môi trường Production (App Store/CH Play, Web hosting)</c:v>
                </c:pt>
                <c:pt idx="36">
                  <c:v>Đào tạo người dùng cho nhân viên Trung tâm ABC</c:v>
                </c:pt>
                <c:pt idx="37">
                  <c:v>Bàn giao tài liệu, mã nguồn, tài khoản quản trị</c:v>
                </c:pt>
                <c:pt idx="38">
                  <c:v>Ký biên bản nghiệm thu</c:v>
                </c:pt>
                <c:pt idx="39">
                  <c:v>Hỗ trợ kỹ thuật theo SLA cam kết (1-3 tháng bảo hành)</c:v>
                </c:pt>
                <c:pt idx="40">
                  <c:v>Theo dõi vận hành thực tế, xử lý sự cố phát sinh</c:v>
                </c:pt>
                <c:pt idx="41">
                  <c:v>Thu thập phản hồi người dùng, đề xuất kế hoạch Phase 2</c:v>
                </c:pt>
              </c:strCache>
            </c:strRef>
          </c:cat>
          <c:val>
            <c:numRef>
              <c:f>'Gantt Chart'!$I$5:$I$46</c:f>
              <c:numCache>
                <c:formatCode>0.0</c:formatCode>
                <c:ptCount val="42"/>
                <c:pt idx="0">
                  <c:v>0</c:v>
                </c:pt>
                <c:pt idx="1">
                  <c:v>0.39999999999999991</c:v>
                </c:pt>
                <c:pt idx="2">
                  <c:v>6.3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8</c:v>
                </c:pt>
                <c:pt idx="7">
                  <c:v>5</c:v>
                </c:pt>
                <c:pt idx="8">
                  <c:v>6</c:v>
                </c:pt>
                <c:pt idx="9">
                  <c:v>3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5</c:v>
                </c:pt>
                <c:pt idx="21">
                  <c:v>2</c:v>
                </c:pt>
                <c:pt idx="22">
                  <c:v>7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6</c:v>
                </c:pt>
                <c:pt idx="32">
                  <c:v>4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84</c:v>
                </c:pt>
                <c:pt idx="40">
                  <c:v>84</c:v>
                </c:pt>
                <c:pt idx="4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B4-CF4F-B4A0-A69518FC9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74476421"/>
        <c:axId val="53417712"/>
      </c:barChart>
      <c:catAx>
        <c:axId val="74476421"/>
        <c:scaling>
          <c:orientation val="minMax"/>
        </c:scaling>
        <c:delete val="0"/>
        <c:axPos val="r"/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VN"/>
          </a:p>
        </c:txPr>
        <c:crossAx val="53417712"/>
        <c:crosses val="autoZero"/>
        <c:auto val="1"/>
        <c:lblAlgn val="ctr"/>
        <c:lblOffset val="100"/>
        <c:noMultiLvlLbl val="0"/>
      </c:catAx>
      <c:valAx>
        <c:axId val="53417712"/>
        <c:scaling>
          <c:orientation val="maxMin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dd/mm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VN"/>
          </a:p>
        </c:txPr>
        <c:crossAx val="744764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145440</xdr:rowOff>
    </xdr:from>
    <xdr:to>
      <xdr:col>24</xdr:col>
      <xdr:colOff>78480</xdr:colOff>
      <xdr:row>33</xdr:row>
      <xdr:rowOff>478620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4"/>
  <sheetViews>
    <sheetView showGridLines="0" topLeftCell="A35" zoomScale="90" zoomScaleNormal="90" workbookViewId="0">
      <selection activeCell="A49" sqref="A49:O49"/>
    </sheetView>
  </sheetViews>
  <sheetFormatPr baseColWidth="10" defaultColWidth="8.6640625" defaultRowHeight="15" x14ac:dyDescent="0.2"/>
  <cols>
    <col min="1" max="1" width="5" customWidth="1"/>
    <col min="2" max="2" width="8" customWidth="1"/>
    <col min="3" max="3" width="30" customWidth="1"/>
    <col min="4" max="4" width="46" customWidth="1"/>
    <col min="5" max="5" width="22" customWidth="1"/>
    <col min="6" max="6" width="15.1640625" customWidth="1"/>
    <col min="7" max="8" width="13" customWidth="1"/>
    <col min="9" max="9" width="10" customWidth="1"/>
    <col min="10" max="11" width="13" customWidth="1"/>
    <col min="12" max="12" width="40" customWidth="1"/>
    <col min="13" max="13" width="17.1640625" customWidth="1"/>
    <col min="14" max="14" width="15.1640625" customWidth="1"/>
    <col min="15" max="15" width="16" customWidth="1"/>
    <col min="16" max="16" width="18.5" customWidth="1"/>
    <col min="17" max="17" width="17.5" customWidth="1"/>
  </cols>
  <sheetData>
    <row r="1" spans="1:17" ht="25.5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15.75" customHeight="1" x14ac:dyDescent="0.2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6"/>
      <c r="N2" s="6"/>
    </row>
    <row r="3" spans="1:17" ht="15.75" customHeight="1" x14ac:dyDescent="0.2">
      <c r="A3" s="31" t="s">
        <v>156</v>
      </c>
      <c r="B3" s="31"/>
      <c r="C3" s="31"/>
      <c r="D3" s="31" t="s">
        <v>2</v>
      </c>
      <c r="E3" s="31"/>
      <c r="F3" s="31"/>
      <c r="G3" s="31"/>
      <c r="H3" s="31" t="s">
        <v>3</v>
      </c>
      <c r="I3" s="31"/>
      <c r="J3" s="31"/>
      <c r="K3" s="31"/>
      <c r="L3" s="31"/>
      <c r="M3" s="5"/>
      <c r="N3" s="5"/>
    </row>
    <row r="4" spans="1:17" ht="6" customHeight="1" x14ac:dyDescent="0.2"/>
    <row r="5" spans="1:17" ht="30" customHeight="1" x14ac:dyDescent="0.2">
      <c r="A5" s="32" t="s">
        <v>4</v>
      </c>
      <c r="B5" s="32" t="s">
        <v>5</v>
      </c>
      <c r="C5" s="32" t="s">
        <v>6</v>
      </c>
      <c r="D5" s="32" t="s">
        <v>7</v>
      </c>
      <c r="E5" s="32" t="s">
        <v>8</v>
      </c>
      <c r="F5" s="32" t="s">
        <v>9</v>
      </c>
      <c r="G5" s="33" t="s">
        <v>10</v>
      </c>
      <c r="H5" s="33"/>
      <c r="I5" s="32" t="s">
        <v>11</v>
      </c>
      <c r="J5" s="32" t="s">
        <v>12</v>
      </c>
      <c r="K5" s="32"/>
      <c r="L5" s="32" t="s">
        <v>13</v>
      </c>
      <c r="M5" s="32" t="s">
        <v>14</v>
      </c>
      <c r="N5" s="32" t="s">
        <v>15</v>
      </c>
      <c r="O5" s="32" t="s">
        <v>16</v>
      </c>
      <c r="P5" s="32" t="s">
        <v>17</v>
      </c>
      <c r="Q5" s="32" t="s">
        <v>18</v>
      </c>
    </row>
    <row r="6" spans="1:17" ht="30" customHeight="1" x14ac:dyDescent="0.2">
      <c r="A6" s="32"/>
      <c r="B6" s="32"/>
      <c r="C6" s="32"/>
      <c r="D6" s="32"/>
      <c r="E6" s="32"/>
      <c r="F6" s="32"/>
      <c r="G6" s="3" t="s">
        <v>19</v>
      </c>
      <c r="H6" s="3" t="s">
        <v>20</v>
      </c>
      <c r="I6" s="32"/>
      <c r="J6" s="4" t="s">
        <v>19</v>
      </c>
      <c r="K6" s="4" t="s">
        <v>20</v>
      </c>
      <c r="L6" s="32"/>
      <c r="M6" s="32"/>
      <c r="N6" s="32"/>
      <c r="O6" s="32"/>
      <c r="P6" s="32"/>
      <c r="Q6" s="32"/>
    </row>
    <row r="7" spans="1:17" ht="30" customHeight="1" x14ac:dyDescent="0.2">
      <c r="A7" s="2">
        <v>1</v>
      </c>
      <c r="B7" s="2">
        <v>1</v>
      </c>
      <c r="C7" s="1" t="s">
        <v>21</v>
      </c>
      <c r="D7" s="7" t="s">
        <v>22</v>
      </c>
      <c r="E7" s="7" t="s">
        <v>23</v>
      </c>
      <c r="F7" s="7"/>
      <c r="G7" s="8">
        <v>46216</v>
      </c>
      <c r="H7" s="8">
        <f>WORKDAY(G7,I7) - 1</f>
        <v>46216</v>
      </c>
      <c r="I7" s="2">
        <v>1</v>
      </c>
      <c r="J7" s="8"/>
      <c r="K7" s="8"/>
      <c r="L7" s="7" t="s">
        <v>24</v>
      </c>
      <c r="M7" s="7"/>
      <c r="N7" s="9">
        <v>100</v>
      </c>
      <c r="O7" s="2" t="s">
        <v>25</v>
      </c>
      <c r="P7" s="7"/>
      <c r="Q7" s="7"/>
    </row>
    <row r="8" spans="1:17" ht="30" customHeight="1" x14ac:dyDescent="0.2">
      <c r="A8" s="2">
        <v>2</v>
      </c>
      <c r="B8" s="34">
        <v>2</v>
      </c>
      <c r="C8" s="35" t="s">
        <v>26</v>
      </c>
      <c r="D8" s="7" t="s">
        <v>27</v>
      </c>
      <c r="E8" s="7" t="s">
        <v>28</v>
      </c>
      <c r="F8" s="7"/>
      <c r="G8" s="8">
        <v>46216</v>
      </c>
      <c r="H8" s="8">
        <f t="shared" ref="H7:H30" si="0">WORKDAY(G8,I8) - 1</f>
        <v>46217</v>
      </c>
      <c r="I8" s="2">
        <v>2</v>
      </c>
      <c r="J8" s="8"/>
      <c r="K8" s="8"/>
      <c r="L8" s="7" t="s">
        <v>29</v>
      </c>
      <c r="M8" s="7"/>
      <c r="N8" s="9">
        <v>80</v>
      </c>
      <c r="O8" s="2" t="s">
        <v>30</v>
      </c>
      <c r="P8" s="7"/>
      <c r="Q8" s="7"/>
    </row>
    <row r="9" spans="1:17" ht="30" customHeight="1" x14ac:dyDescent="0.2">
      <c r="A9" s="10">
        <v>3</v>
      </c>
      <c r="B9" s="34"/>
      <c r="C9" s="34"/>
      <c r="D9" s="11" t="s">
        <v>31</v>
      </c>
      <c r="E9" s="11" t="s">
        <v>32</v>
      </c>
      <c r="F9" s="11"/>
      <c r="G9" s="12">
        <v>46218</v>
      </c>
      <c r="H9" s="12">
        <f t="shared" si="0"/>
        <v>46224</v>
      </c>
      <c r="I9" s="10">
        <v>5</v>
      </c>
      <c r="J9" s="12"/>
      <c r="K9" s="12"/>
      <c r="L9" s="11" t="s">
        <v>33</v>
      </c>
      <c r="M9" s="11"/>
      <c r="N9" s="13">
        <v>10</v>
      </c>
      <c r="O9" s="10" t="s">
        <v>34</v>
      </c>
      <c r="P9" s="11"/>
      <c r="Q9" s="11"/>
    </row>
    <row r="10" spans="1:17" ht="30" customHeight="1" x14ac:dyDescent="0.2">
      <c r="A10" s="2">
        <v>4</v>
      </c>
      <c r="B10" s="34"/>
      <c r="C10" s="34"/>
      <c r="D10" s="7" t="s">
        <v>35</v>
      </c>
      <c r="E10" s="7" t="s">
        <v>32</v>
      </c>
      <c r="F10" s="7"/>
      <c r="G10" s="8">
        <v>46218</v>
      </c>
      <c r="H10" s="8">
        <f t="shared" si="0"/>
        <v>46224</v>
      </c>
      <c r="I10" s="2">
        <v>5</v>
      </c>
      <c r="J10" s="8"/>
      <c r="K10" s="8"/>
      <c r="L10" s="7" t="s">
        <v>36</v>
      </c>
      <c r="M10" s="7"/>
      <c r="N10" s="9">
        <v>0</v>
      </c>
      <c r="O10" s="2" t="s">
        <v>37</v>
      </c>
      <c r="P10" s="7"/>
      <c r="Q10" s="7"/>
    </row>
    <row r="11" spans="1:17" ht="30" customHeight="1" x14ac:dyDescent="0.2">
      <c r="A11" s="10">
        <v>5</v>
      </c>
      <c r="B11" s="34"/>
      <c r="C11" s="34"/>
      <c r="D11" s="11" t="s">
        <v>38</v>
      </c>
      <c r="E11" s="11" t="s">
        <v>32</v>
      </c>
      <c r="F11" s="11"/>
      <c r="G11" s="12">
        <v>46225</v>
      </c>
      <c r="H11" s="12">
        <f t="shared" si="0"/>
        <v>46229</v>
      </c>
      <c r="I11" s="10">
        <v>3</v>
      </c>
      <c r="J11" s="12"/>
      <c r="K11" s="12"/>
      <c r="L11" s="11" t="s">
        <v>39</v>
      </c>
      <c r="M11" s="11"/>
      <c r="N11" s="13">
        <v>0</v>
      </c>
      <c r="O11" s="10" t="s">
        <v>37</v>
      </c>
      <c r="P11" s="11"/>
      <c r="Q11" s="11"/>
    </row>
    <row r="12" spans="1:17" ht="30" customHeight="1" x14ac:dyDescent="0.2">
      <c r="A12" s="2">
        <v>6</v>
      </c>
      <c r="B12" s="34">
        <v>3</v>
      </c>
      <c r="C12" s="36" t="s">
        <v>40</v>
      </c>
      <c r="D12" s="7" t="s">
        <v>41</v>
      </c>
      <c r="E12" s="7" t="s">
        <v>32</v>
      </c>
      <c r="F12" s="7"/>
      <c r="G12" s="8">
        <v>46230</v>
      </c>
      <c r="H12" s="8">
        <f t="shared" si="0"/>
        <v>46232</v>
      </c>
      <c r="I12" s="2">
        <v>3</v>
      </c>
      <c r="J12" s="8"/>
      <c r="K12" s="8"/>
      <c r="L12" s="7" t="s">
        <v>42</v>
      </c>
      <c r="M12" s="7"/>
      <c r="N12" s="9">
        <v>0</v>
      </c>
      <c r="O12" s="2" t="s">
        <v>37</v>
      </c>
      <c r="P12" s="7"/>
      <c r="Q12" s="7"/>
    </row>
    <row r="13" spans="1:17" ht="30" customHeight="1" x14ac:dyDescent="0.2">
      <c r="A13" s="10">
        <v>7</v>
      </c>
      <c r="B13" s="34"/>
      <c r="C13" s="34"/>
      <c r="D13" s="11" t="s">
        <v>43</v>
      </c>
      <c r="E13" s="11" t="s">
        <v>44</v>
      </c>
      <c r="F13" s="11"/>
      <c r="G13" s="12">
        <v>46230</v>
      </c>
      <c r="H13" s="12">
        <f t="shared" si="0"/>
        <v>46237</v>
      </c>
      <c r="I13" s="10">
        <v>6</v>
      </c>
      <c r="J13" s="12"/>
      <c r="K13" s="12"/>
      <c r="L13" s="11" t="s">
        <v>45</v>
      </c>
      <c r="M13" s="11"/>
      <c r="N13" s="13">
        <v>0</v>
      </c>
      <c r="O13" s="10" t="s">
        <v>37</v>
      </c>
      <c r="P13" s="11"/>
      <c r="Q13" s="11"/>
    </row>
    <row r="14" spans="1:17" ht="30" customHeight="1" x14ac:dyDescent="0.2">
      <c r="A14" s="2">
        <v>8</v>
      </c>
      <c r="B14" s="34"/>
      <c r="C14" s="34"/>
      <c r="D14" s="7" t="s">
        <v>46</v>
      </c>
      <c r="E14" s="7" t="s">
        <v>47</v>
      </c>
      <c r="F14" s="7"/>
      <c r="G14" s="8">
        <v>46233</v>
      </c>
      <c r="H14" s="8">
        <f t="shared" si="0"/>
        <v>46237</v>
      </c>
      <c r="I14" s="2">
        <v>3</v>
      </c>
      <c r="J14" s="8"/>
      <c r="K14" s="8"/>
      <c r="L14" s="7" t="s">
        <v>48</v>
      </c>
      <c r="M14" s="7"/>
      <c r="N14" s="9">
        <v>0</v>
      </c>
      <c r="O14" s="2" t="s">
        <v>37</v>
      </c>
      <c r="P14" s="7"/>
      <c r="Q14" s="7"/>
    </row>
    <row r="15" spans="1:17" ht="30" customHeight="1" x14ac:dyDescent="0.2">
      <c r="A15" s="10">
        <v>9</v>
      </c>
      <c r="B15" s="34"/>
      <c r="C15" s="34"/>
      <c r="D15" s="11" t="s">
        <v>49</v>
      </c>
      <c r="E15" s="11" t="s">
        <v>47</v>
      </c>
      <c r="F15" s="11"/>
      <c r="G15" s="12">
        <v>46238</v>
      </c>
      <c r="H15" s="12">
        <f t="shared" si="0"/>
        <v>46243</v>
      </c>
      <c r="I15" s="10">
        <v>4</v>
      </c>
      <c r="J15" s="12"/>
      <c r="K15" s="12"/>
      <c r="L15" s="11" t="s">
        <v>50</v>
      </c>
      <c r="M15" s="11"/>
      <c r="N15" s="13">
        <v>0</v>
      </c>
      <c r="O15" s="10" t="s">
        <v>37</v>
      </c>
      <c r="P15" s="11"/>
      <c r="Q15" s="11"/>
    </row>
    <row r="16" spans="1:17" ht="30" customHeight="1" x14ac:dyDescent="0.2">
      <c r="A16" s="2">
        <v>10</v>
      </c>
      <c r="B16" s="34">
        <v>4</v>
      </c>
      <c r="C16" s="37" t="s">
        <v>51</v>
      </c>
      <c r="D16" s="7" t="s">
        <v>52</v>
      </c>
      <c r="E16" s="7" t="s">
        <v>32</v>
      </c>
      <c r="F16" s="7"/>
      <c r="G16" s="8">
        <v>46244</v>
      </c>
      <c r="H16" s="8">
        <f t="shared" si="0"/>
        <v>46246</v>
      </c>
      <c r="I16" s="2">
        <v>3</v>
      </c>
      <c r="J16" s="8"/>
      <c r="K16" s="8"/>
      <c r="L16" s="7" t="s">
        <v>53</v>
      </c>
      <c r="M16" s="7"/>
      <c r="N16" s="9">
        <v>0</v>
      </c>
      <c r="O16" s="2" t="s">
        <v>37</v>
      </c>
      <c r="P16" s="7"/>
      <c r="Q16" s="7"/>
    </row>
    <row r="17" spans="1:17" ht="30" customHeight="1" x14ac:dyDescent="0.2">
      <c r="A17" s="10">
        <v>11</v>
      </c>
      <c r="B17" s="34"/>
      <c r="C17" s="34"/>
      <c r="D17" s="11" t="s">
        <v>54</v>
      </c>
      <c r="E17" s="11" t="s">
        <v>32</v>
      </c>
      <c r="F17" s="11"/>
      <c r="G17" s="12">
        <v>46247</v>
      </c>
      <c r="H17" s="12">
        <f t="shared" si="0"/>
        <v>46252</v>
      </c>
      <c r="I17" s="10">
        <v>4</v>
      </c>
      <c r="J17" s="12"/>
      <c r="K17" s="12"/>
      <c r="L17" s="11" t="s">
        <v>55</v>
      </c>
      <c r="M17" s="11"/>
      <c r="N17" s="13">
        <v>0</v>
      </c>
      <c r="O17" s="10" t="s">
        <v>37</v>
      </c>
      <c r="P17" s="11"/>
      <c r="Q17" s="11"/>
    </row>
    <row r="18" spans="1:17" ht="30" customHeight="1" x14ac:dyDescent="0.2">
      <c r="A18" s="2">
        <v>12</v>
      </c>
      <c r="B18" s="34"/>
      <c r="C18" s="34"/>
      <c r="D18" s="7" t="s">
        <v>56</v>
      </c>
      <c r="E18" s="7" t="s">
        <v>57</v>
      </c>
      <c r="F18" s="7"/>
      <c r="G18" s="8">
        <v>46244</v>
      </c>
      <c r="H18" s="8">
        <f t="shared" si="0"/>
        <v>46250</v>
      </c>
      <c r="I18" s="2">
        <v>5</v>
      </c>
      <c r="J18" s="8"/>
      <c r="K18" s="8"/>
      <c r="L18" s="7" t="s">
        <v>58</v>
      </c>
      <c r="M18" s="7"/>
      <c r="N18" s="9">
        <v>0</v>
      </c>
      <c r="O18" s="2" t="s">
        <v>37</v>
      </c>
      <c r="P18" s="7"/>
      <c r="Q18" s="7"/>
    </row>
    <row r="19" spans="1:17" ht="30" customHeight="1" x14ac:dyDescent="0.2">
      <c r="A19" s="10">
        <v>13</v>
      </c>
      <c r="B19" s="34"/>
      <c r="C19" s="34"/>
      <c r="D19" s="11" t="s">
        <v>59</v>
      </c>
      <c r="E19" s="11" t="s">
        <v>47</v>
      </c>
      <c r="F19" s="11"/>
      <c r="G19" s="12">
        <v>46244</v>
      </c>
      <c r="H19" s="12">
        <f t="shared" si="0"/>
        <v>46250</v>
      </c>
      <c r="I19" s="10">
        <v>5</v>
      </c>
      <c r="J19" s="12"/>
      <c r="K19" s="12"/>
      <c r="L19" s="11" t="s">
        <v>60</v>
      </c>
      <c r="M19" s="11"/>
      <c r="N19" s="13">
        <v>0</v>
      </c>
      <c r="O19" s="10" t="s">
        <v>37</v>
      </c>
      <c r="P19" s="11"/>
      <c r="Q19" s="11"/>
    </row>
    <row r="20" spans="1:17" ht="30" customHeight="1" x14ac:dyDescent="0.2">
      <c r="A20" s="2">
        <v>14</v>
      </c>
      <c r="B20" s="34"/>
      <c r="C20" s="34"/>
      <c r="D20" s="7" t="s">
        <v>61</v>
      </c>
      <c r="E20" s="7" t="s">
        <v>62</v>
      </c>
      <c r="F20" s="7"/>
      <c r="G20" s="8">
        <v>46247</v>
      </c>
      <c r="H20" s="8">
        <f t="shared" si="0"/>
        <v>46251</v>
      </c>
      <c r="I20" s="2">
        <v>3</v>
      </c>
      <c r="J20" s="8"/>
      <c r="K20" s="8"/>
      <c r="L20" s="7" t="s">
        <v>63</v>
      </c>
      <c r="M20" s="7"/>
      <c r="N20" s="9">
        <v>0</v>
      </c>
      <c r="O20" s="2" t="s">
        <v>37</v>
      </c>
      <c r="P20" s="7"/>
      <c r="Q20" s="7"/>
    </row>
    <row r="21" spans="1:17" ht="30" customHeight="1" x14ac:dyDescent="0.2">
      <c r="A21" s="2">
        <v>15</v>
      </c>
      <c r="B21" s="34">
        <v>5</v>
      </c>
      <c r="C21" s="38" t="s">
        <v>64</v>
      </c>
      <c r="D21" s="7" t="s">
        <v>65</v>
      </c>
      <c r="E21" s="7" t="s">
        <v>28</v>
      </c>
      <c r="F21" s="7"/>
      <c r="G21" s="8">
        <v>46252</v>
      </c>
      <c r="H21" s="8">
        <f t="shared" si="0"/>
        <v>46252</v>
      </c>
      <c r="I21" s="2">
        <v>1</v>
      </c>
      <c r="J21" s="8"/>
      <c r="K21" s="8"/>
      <c r="L21" s="7" t="s">
        <v>66</v>
      </c>
      <c r="M21" s="7"/>
      <c r="N21" s="9">
        <v>0</v>
      </c>
      <c r="O21" s="2" t="s">
        <v>37</v>
      </c>
      <c r="P21" s="7"/>
      <c r="Q21" s="7"/>
    </row>
    <row r="22" spans="1:17" ht="30" customHeight="1" x14ac:dyDescent="0.2">
      <c r="A22" s="10">
        <v>16</v>
      </c>
      <c r="B22" s="34"/>
      <c r="C22" s="34"/>
      <c r="D22" s="11" t="s">
        <v>67</v>
      </c>
      <c r="E22" s="11" t="s">
        <v>68</v>
      </c>
      <c r="F22" s="11"/>
      <c r="G22" s="12">
        <v>46253</v>
      </c>
      <c r="H22" s="12">
        <f t="shared" si="0"/>
        <v>46254</v>
      </c>
      <c r="I22" s="10">
        <v>2</v>
      </c>
      <c r="J22" s="12"/>
      <c r="K22" s="12"/>
      <c r="L22" s="11" t="s">
        <v>69</v>
      </c>
      <c r="M22" s="11"/>
      <c r="N22" s="13">
        <v>0</v>
      </c>
      <c r="O22" s="10" t="s">
        <v>37</v>
      </c>
      <c r="P22" s="11"/>
      <c r="Q22" s="11"/>
    </row>
    <row r="23" spans="1:17" ht="30" customHeight="1" x14ac:dyDescent="0.2">
      <c r="A23" s="2">
        <v>17</v>
      </c>
      <c r="B23" s="34"/>
      <c r="C23" s="34"/>
      <c r="D23" s="7" t="s">
        <v>70</v>
      </c>
      <c r="E23" s="7" t="s">
        <v>32</v>
      </c>
      <c r="F23" s="7"/>
      <c r="G23" s="8">
        <v>46255</v>
      </c>
      <c r="H23" s="8">
        <f t="shared" si="0"/>
        <v>46258</v>
      </c>
      <c r="I23" s="2">
        <v>2</v>
      </c>
      <c r="J23" s="8"/>
      <c r="K23" s="8"/>
      <c r="L23" s="7" t="s">
        <v>71</v>
      </c>
      <c r="M23" s="7"/>
      <c r="N23" s="9">
        <v>0</v>
      </c>
      <c r="O23" s="2" t="s">
        <v>37</v>
      </c>
      <c r="P23" s="7"/>
      <c r="Q23" s="7"/>
    </row>
    <row r="24" spans="1:17" ht="30" customHeight="1" x14ac:dyDescent="0.2">
      <c r="A24" s="10">
        <v>18</v>
      </c>
      <c r="B24" s="34"/>
      <c r="C24" s="34"/>
      <c r="D24" s="11" t="s">
        <v>72</v>
      </c>
      <c r="E24" s="11" t="s">
        <v>73</v>
      </c>
      <c r="F24" s="11"/>
      <c r="G24" s="12">
        <v>46259</v>
      </c>
      <c r="H24" s="12">
        <f t="shared" si="0"/>
        <v>46259</v>
      </c>
      <c r="I24" s="10">
        <v>1</v>
      </c>
      <c r="J24" s="12"/>
      <c r="K24" s="12"/>
      <c r="L24" s="11" t="s">
        <v>74</v>
      </c>
      <c r="M24" s="11"/>
      <c r="N24" s="13">
        <v>0</v>
      </c>
      <c r="O24" s="10" t="s">
        <v>37</v>
      </c>
      <c r="P24" s="11"/>
      <c r="Q24" s="11"/>
    </row>
    <row r="25" spans="1:17" ht="30" customHeight="1" x14ac:dyDescent="0.2">
      <c r="A25" s="2">
        <v>19</v>
      </c>
      <c r="B25" s="34">
        <v>6</v>
      </c>
      <c r="C25" s="35" t="s">
        <v>75</v>
      </c>
      <c r="D25" s="7" t="s">
        <v>76</v>
      </c>
      <c r="E25" s="7" t="s">
        <v>77</v>
      </c>
      <c r="F25" s="7"/>
      <c r="G25" s="8">
        <v>46260</v>
      </c>
      <c r="H25" s="8">
        <f t="shared" si="0"/>
        <v>46260</v>
      </c>
      <c r="I25" s="2">
        <v>1</v>
      </c>
      <c r="J25" s="8"/>
      <c r="K25" s="8"/>
      <c r="L25" s="7" t="s">
        <v>78</v>
      </c>
      <c r="M25" s="7"/>
      <c r="N25" s="9">
        <v>0</v>
      </c>
      <c r="O25" s="2" t="s">
        <v>37</v>
      </c>
      <c r="P25" s="7"/>
      <c r="Q25" s="7"/>
    </row>
    <row r="26" spans="1:17" ht="30" customHeight="1" x14ac:dyDescent="0.2">
      <c r="A26" s="10">
        <v>20</v>
      </c>
      <c r="B26" s="34"/>
      <c r="C26" s="34"/>
      <c r="D26" s="11" t="s">
        <v>79</v>
      </c>
      <c r="E26" s="11" t="s">
        <v>80</v>
      </c>
      <c r="F26" s="11"/>
      <c r="G26" s="12">
        <v>46261</v>
      </c>
      <c r="H26" s="12">
        <f t="shared" si="0"/>
        <v>46264</v>
      </c>
      <c r="I26" s="10">
        <v>2</v>
      </c>
      <c r="J26" s="12"/>
      <c r="K26" s="12"/>
      <c r="L26" s="11" t="s">
        <v>81</v>
      </c>
      <c r="M26" s="11"/>
      <c r="N26" s="13">
        <v>0</v>
      </c>
      <c r="O26" s="10" t="s">
        <v>37</v>
      </c>
      <c r="P26" s="11"/>
      <c r="Q26" s="11"/>
    </row>
    <row r="27" spans="1:17" ht="30" customHeight="1" x14ac:dyDescent="0.2">
      <c r="A27" s="2">
        <v>21</v>
      </c>
      <c r="B27" s="34"/>
      <c r="C27" s="34"/>
      <c r="D27" s="7" t="s">
        <v>82</v>
      </c>
      <c r="E27" s="7" t="s">
        <v>83</v>
      </c>
      <c r="F27" s="7"/>
      <c r="G27" s="8">
        <v>46261</v>
      </c>
      <c r="H27" s="8">
        <f t="shared" si="0"/>
        <v>46265</v>
      </c>
      <c r="I27" s="2">
        <v>3</v>
      </c>
      <c r="J27" s="8"/>
      <c r="K27" s="8"/>
      <c r="L27" s="7" t="s">
        <v>84</v>
      </c>
      <c r="M27" s="7"/>
      <c r="N27" s="9">
        <v>0</v>
      </c>
      <c r="O27" s="2" t="s">
        <v>37</v>
      </c>
      <c r="P27" s="7"/>
      <c r="Q27" s="7"/>
    </row>
    <row r="28" spans="1:17" ht="30" customHeight="1" x14ac:dyDescent="0.2">
      <c r="A28" s="10">
        <v>22</v>
      </c>
      <c r="B28" s="34"/>
      <c r="C28" s="34"/>
      <c r="D28" s="11" t="s">
        <v>85</v>
      </c>
      <c r="E28" s="11" t="s">
        <v>86</v>
      </c>
      <c r="F28" s="11"/>
      <c r="G28" s="12">
        <v>46264</v>
      </c>
      <c r="H28" s="12">
        <f t="shared" si="0"/>
        <v>46265</v>
      </c>
      <c r="I28" s="10">
        <v>2</v>
      </c>
      <c r="J28" s="12"/>
      <c r="K28" s="12"/>
      <c r="L28" s="11" t="s">
        <v>87</v>
      </c>
      <c r="M28" s="11"/>
      <c r="N28" s="13">
        <v>0</v>
      </c>
      <c r="O28" s="10" t="s">
        <v>37</v>
      </c>
      <c r="P28" s="11"/>
      <c r="Q28" s="11"/>
    </row>
    <row r="29" spans="1:17" ht="30" customHeight="1" x14ac:dyDescent="0.2">
      <c r="A29" s="2">
        <v>23</v>
      </c>
      <c r="B29" s="34">
        <v>7</v>
      </c>
      <c r="C29" s="39" t="s">
        <v>88</v>
      </c>
      <c r="D29" s="7" t="s">
        <v>89</v>
      </c>
      <c r="E29" s="7" t="s">
        <v>90</v>
      </c>
      <c r="F29" s="7"/>
      <c r="G29" s="8">
        <v>46266</v>
      </c>
      <c r="H29" s="8">
        <f t="shared" si="0"/>
        <v>46272</v>
      </c>
      <c r="I29" s="2">
        <v>5</v>
      </c>
      <c r="J29" s="8"/>
      <c r="K29" s="8"/>
      <c r="L29" s="7" t="s">
        <v>91</v>
      </c>
      <c r="M29" s="7"/>
      <c r="N29" s="9">
        <v>0</v>
      </c>
      <c r="O29" s="2" t="s">
        <v>37</v>
      </c>
      <c r="P29" s="7"/>
      <c r="Q29" s="7"/>
    </row>
    <row r="30" spans="1:17" ht="30" customHeight="1" x14ac:dyDescent="0.2">
      <c r="A30" s="10">
        <v>24</v>
      </c>
      <c r="B30" s="34"/>
      <c r="C30" s="34"/>
      <c r="D30" s="11" t="s">
        <v>92</v>
      </c>
      <c r="E30" s="11" t="s">
        <v>90</v>
      </c>
      <c r="F30" s="11"/>
      <c r="G30" s="12">
        <v>46273</v>
      </c>
      <c r="H30" s="12">
        <f t="shared" si="0"/>
        <v>46286</v>
      </c>
      <c r="I30" s="10">
        <v>10</v>
      </c>
      <c r="J30" s="12"/>
      <c r="K30" s="12"/>
      <c r="L30" s="11" t="s">
        <v>93</v>
      </c>
      <c r="M30" s="11"/>
      <c r="N30" s="13">
        <v>0</v>
      </c>
      <c r="O30" s="10" t="s">
        <v>37</v>
      </c>
      <c r="P30" s="11"/>
      <c r="Q30" s="11"/>
    </row>
    <row r="31" spans="1:17" ht="42" x14ac:dyDescent="0.2">
      <c r="A31" s="2">
        <v>25</v>
      </c>
      <c r="B31" s="34"/>
      <c r="C31" s="34"/>
      <c r="D31" s="7" t="s">
        <v>94</v>
      </c>
      <c r="E31" s="7" t="s">
        <v>90</v>
      </c>
      <c r="F31" s="7"/>
      <c r="G31" s="8">
        <v>46287</v>
      </c>
      <c r="H31" s="8">
        <f t="shared" ref="H31:H48" si="1">WORKDAY(G31,I31)-1</f>
        <v>46300</v>
      </c>
      <c r="I31" s="2">
        <v>10</v>
      </c>
      <c r="J31" s="8"/>
      <c r="K31" s="8"/>
      <c r="L31" s="7" t="s">
        <v>95</v>
      </c>
      <c r="M31" s="7"/>
      <c r="N31" s="9">
        <v>0</v>
      </c>
      <c r="O31" s="2" t="s">
        <v>37</v>
      </c>
      <c r="P31" s="7"/>
      <c r="Q31" s="7"/>
    </row>
    <row r="32" spans="1:17" ht="30" customHeight="1" x14ac:dyDescent="0.2">
      <c r="A32" s="10">
        <v>26</v>
      </c>
      <c r="B32" s="34"/>
      <c r="C32" s="34"/>
      <c r="D32" s="11" t="s">
        <v>96</v>
      </c>
      <c r="E32" s="11" t="s">
        <v>90</v>
      </c>
      <c r="F32" s="11"/>
      <c r="G32" s="12">
        <v>46301</v>
      </c>
      <c r="H32" s="12">
        <f t="shared" si="1"/>
        <v>46314</v>
      </c>
      <c r="I32" s="10">
        <v>10</v>
      </c>
      <c r="J32" s="12"/>
      <c r="K32" s="12"/>
      <c r="L32" s="11" t="s">
        <v>97</v>
      </c>
      <c r="M32" s="11"/>
      <c r="N32" s="13">
        <v>0</v>
      </c>
      <c r="O32" s="10" t="s">
        <v>37</v>
      </c>
      <c r="P32" s="11"/>
      <c r="Q32" s="11"/>
    </row>
    <row r="33" spans="1:17" ht="30" customHeight="1" x14ac:dyDescent="0.2">
      <c r="A33" s="2">
        <v>27</v>
      </c>
      <c r="B33" s="34"/>
      <c r="C33" s="34"/>
      <c r="D33" s="7" t="s">
        <v>98</v>
      </c>
      <c r="E33" s="7" t="s">
        <v>90</v>
      </c>
      <c r="F33" s="7"/>
      <c r="G33" s="8">
        <v>46315</v>
      </c>
      <c r="H33" s="8">
        <f t="shared" si="1"/>
        <v>46328</v>
      </c>
      <c r="I33" s="2">
        <v>10</v>
      </c>
      <c r="J33" s="8"/>
      <c r="K33" s="8"/>
      <c r="L33" s="7" t="s">
        <v>99</v>
      </c>
      <c r="M33" s="7"/>
      <c r="N33" s="9">
        <v>0</v>
      </c>
      <c r="O33" s="2" t="s">
        <v>37</v>
      </c>
      <c r="P33" s="7"/>
      <c r="Q33" s="7"/>
    </row>
    <row r="34" spans="1:17" ht="30" customHeight="1" x14ac:dyDescent="0.2">
      <c r="A34" s="10">
        <v>28</v>
      </c>
      <c r="B34" s="34"/>
      <c r="C34" s="34"/>
      <c r="D34" s="11" t="s">
        <v>100</v>
      </c>
      <c r="E34" s="11" t="s">
        <v>90</v>
      </c>
      <c r="F34" s="11"/>
      <c r="G34" s="12">
        <v>46329</v>
      </c>
      <c r="H34" s="12">
        <f t="shared" si="1"/>
        <v>46342</v>
      </c>
      <c r="I34" s="10">
        <v>10</v>
      </c>
      <c r="J34" s="12"/>
      <c r="K34" s="12"/>
      <c r="L34" s="11" t="s">
        <v>101</v>
      </c>
      <c r="M34" s="11"/>
      <c r="N34" s="13">
        <v>0</v>
      </c>
      <c r="O34" s="10" t="s">
        <v>37</v>
      </c>
      <c r="P34" s="11"/>
      <c r="Q34" s="11"/>
    </row>
    <row r="35" spans="1:17" ht="30" customHeight="1" x14ac:dyDescent="0.2">
      <c r="A35" s="2">
        <v>29</v>
      </c>
      <c r="B35" s="34"/>
      <c r="C35" s="34"/>
      <c r="D35" s="7" t="s">
        <v>102</v>
      </c>
      <c r="E35" s="7" t="s">
        <v>90</v>
      </c>
      <c r="F35" s="7"/>
      <c r="G35" s="8">
        <v>46343</v>
      </c>
      <c r="H35" s="8">
        <f t="shared" si="1"/>
        <v>46356</v>
      </c>
      <c r="I35" s="2">
        <v>10</v>
      </c>
      <c r="J35" s="8"/>
      <c r="K35" s="8"/>
      <c r="L35" s="7" t="s">
        <v>103</v>
      </c>
      <c r="M35" s="7"/>
      <c r="N35" s="9">
        <v>0</v>
      </c>
      <c r="O35" s="2" t="s">
        <v>37</v>
      </c>
      <c r="P35" s="7"/>
      <c r="Q35" s="7"/>
    </row>
    <row r="36" spans="1:17" ht="42" x14ac:dyDescent="0.2">
      <c r="A36" s="10">
        <v>30</v>
      </c>
      <c r="B36" s="34"/>
      <c r="C36" s="34"/>
      <c r="D36" s="11" t="s">
        <v>104</v>
      </c>
      <c r="E36" s="11" t="s">
        <v>90</v>
      </c>
      <c r="F36" s="11"/>
      <c r="G36" s="12">
        <v>46357</v>
      </c>
      <c r="H36" s="12">
        <f t="shared" si="1"/>
        <v>46370</v>
      </c>
      <c r="I36" s="10">
        <v>10</v>
      </c>
      <c r="J36" s="12"/>
      <c r="K36" s="12"/>
      <c r="L36" s="11" t="s">
        <v>105</v>
      </c>
      <c r="M36" s="11"/>
      <c r="N36" s="13">
        <v>0</v>
      </c>
      <c r="O36" s="10" t="s">
        <v>37</v>
      </c>
      <c r="P36" s="11"/>
      <c r="Q36" s="11"/>
    </row>
    <row r="37" spans="1:17" ht="30" customHeight="1" x14ac:dyDescent="0.2">
      <c r="A37" s="2">
        <v>31</v>
      </c>
      <c r="B37" s="34"/>
      <c r="C37" s="34"/>
      <c r="D37" s="7" t="s">
        <v>106</v>
      </c>
      <c r="E37" s="7" t="s">
        <v>107</v>
      </c>
      <c r="F37" s="7"/>
      <c r="G37" s="8">
        <v>46371</v>
      </c>
      <c r="H37" s="8">
        <f t="shared" si="1"/>
        <v>46384</v>
      </c>
      <c r="I37" s="2">
        <v>10</v>
      </c>
      <c r="J37" s="8"/>
      <c r="K37" s="8"/>
      <c r="L37" s="7" t="s">
        <v>108</v>
      </c>
      <c r="M37" s="7"/>
      <c r="N37" s="9">
        <v>0</v>
      </c>
      <c r="O37" s="2" t="s">
        <v>37</v>
      </c>
      <c r="P37" s="7"/>
      <c r="Q37" s="7"/>
    </row>
    <row r="38" spans="1:17" ht="30" customHeight="1" x14ac:dyDescent="0.2">
      <c r="A38" s="2">
        <v>32</v>
      </c>
      <c r="B38" s="34">
        <v>8</v>
      </c>
      <c r="C38" s="36" t="s">
        <v>109</v>
      </c>
      <c r="D38" s="7" t="s">
        <v>110</v>
      </c>
      <c r="E38" s="7" t="s">
        <v>111</v>
      </c>
      <c r="F38" s="7"/>
      <c r="G38" s="8">
        <v>46385</v>
      </c>
      <c r="H38" s="8">
        <f t="shared" si="1"/>
        <v>46390</v>
      </c>
      <c r="I38" s="2">
        <v>4</v>
      </c>
      <c r="J38" s="8"/>
      <c r="K38" s="8"/>
      <c r="L38" s="7" t="s">
        <v>112</v>
      </c>
      <c r="M38" s="7"/>
      <c r="N38" s="9">
        <v>0</v>
      </c>
      <c r="O38" s="2" t="s">
        <v>37</v>
      </c>
      <c r="P38" s="7"/>
      <c r="Q38" s="7"/>
    </row>
    <row r="39" spans="1:17" ht="30" customHeight="1" x14ac:dyDescent="0.2">
      <c r="A39" s="10">
        <v>33</v>
      </c>
      <c r="B39" s="34"/>
      <c r="C39" s="34"/>
      <c r="D39" s="11" t="s">
        <v>113</v>
      </c>
      <c r="E39" s="11" t="s">
        <v>114</v>
      </c>
      <c r="F39" s="11"/>
      <c r="G39" s="12">
        <v>46391</v>
      </c>
      <c r="H39" s="12">
        <f t="shared" si="1"/>
        <v>46394</v>
      </c>
      <c r="I39" s="10">
        <v>4</v>
      </c>
      <c r="J39" s="12"/>
      <c r="K39" s="12"/>
      <c r="L39" s="11" t="s">
        <v>115</v>
      </c>
      <c r="M39" s="11"/>
      <c r="N39" s="13">
        <v>0</v>
      </c>
      <c r="O39" s="10" t="s">
        <v>37</v>
      </c>
      <c r="P39" s="11"/>
      <c r="Q39" s="11"/>
    </row>
    <row r="40" spans="1:17" ht="30" customHeight="1" x14ac:dyDescent="0.2">
      <c r="A40" s="2">
        <v>34</v>
      </c>
      <c r="B40" s="34"/>
      <c r="C40" s="34"/>
      <c r="D40" s="7" t="s">
        <v>116</v>
      </c>
      <c r="E40" s="7" t="s">
        <v>107</v>
      </c>
      <c r="F40" s="7"/>
      <c r="G40" s="8">
        <v>46393</v>
      </c>
      <c r="H40" s="8">
        <f t="shared" si="1"/>
        <v>46397</v>
      </c>
      <c r="I40" s="2">
        <v>3</v>
      </c>
      <c r="J40" s="8"/>
      <c r="K40" s="8"/>
      <c r="L40" s="7" t="s">
        <v>117</v>
      </c>
      <c r="M40" s="7"/>
      <c r="N40" s="9">
        <v>0</v>
      </c>
      <c r="O40" s="2" t="s">
        <v>37</v>
      </c>
      <c r="P40" s="7"/>
      <c r="Q40" s="7"/>
    </row>
    <row r="41" spans="1:17" ht="30" customHeight="1" x14ac:dyDescent="0.2">
      <c r="A41" s="10">
        <v>35</v>
      </c>
      <c r="B41" s="34"/>
      <c r="C41" s="34"/>
      <c r="D41" s="11" t="s">
        <v>118</v>
      </c>
      <c r="E41" s="11" t="s">
        <v>119</v>
      </c>
      <c r="F41" s="11"/>
      <c r="G41" s="12">
        <v>46398</v>
      </c>
      <c r="H41" s="12">
        <f t="shared" si="1"/>
        <v>46398</v>
      </c>
      <c r="I41" s="10">
        <v>1</v>
      </c>
      <c r="J41" s="12"/>
      <c r="K41" s="12"/>
      <c r="L41" s="11" t="s">
        <v>120</v>
      </c>
      <c r="M41" s="11"/>
      <c r="N41" s="13">
        <v>0</v>
      </c>
      <c r="O41" s="10" t="s">
        <v>37</v>
      </c>
      <c r="P41" s="11"/>
      <c r="Q41" s="11"/>
    </row>
    <row r="42" spans="1:17" ht="30" customHeight="1" x14ac:dyDescent="0.2">
      <c r="A42" s="2">
        <v>36</v>
      </c>
      <c r="B42" s="34">
        <v>9</v>
      </c>
      <c r="C42" s="37" t="s">
        <v>121</v>
      </c>
      <c r="D42" s="7" t="s">
        <v>122</v>
      </c>
      <c r="E42" s="7" t="s">
        <v>123</v>
      </c>
      <c r="F42" s="7"/>
      <c r="G42" s="8">
        <v>46399</v>
      </c>
      <c r="H42" s="8">
        <f t="shared" si="1"/>
        <v>46400</v>
      </c>
      <c r="I42" s="2">
        <v>2</v>
      </c>
      <c r="J42" s="8"/>
      <c r="K42" s="8"/>
      <c r="L42" s="7" t="s">
        <v>124</v>
      </c>
      <c r="M42" s="7"/>
      <c r="N42" s="9">
        <v>0</v>
      </c>
      <c r="O42" s="2" t="s">
        <v>37</v>
      </c>
      <c r="P42" s="7"/>
      <c r="Q42" s="7"/>
    </row>
    <row r="43" spans="1:17" ht="30" customHeight="1" x14ac:dyDescent="0.2">
      <c r="A43" s="10">
        <v>37</v>
      </c>
      <c r="B43" s="34"/>
      <c r="C43" s="34"/>
      <c r="D43" s="11" t="s">
        <v>125</v>
      </c>
      <c r="E43" s="11" t="s">
        <v>126</v>
      </c>
      <c r="F43" s="11"/>
      <c r="G43" s="12">
        <v>46400</v>
      </c>
      <c r="H43" s="12">
        <f t="shared" si="1"/>
        <v>46401</v>
      </c>
      <c r="I43" s="10">
        <v>2</v>
      </c>
      <c r="J43" s="12"/>
      <c r="K43" s="12"/>
      <c r="L43" s="11" t="s">
        <v>127</v>
      </c>
      <c r="M43" s="11"/>
      <c r="N43" s="13">
        <v>0</v>
      </c>
      <c r="O43" s="10" t="s">
        <v>37</v>
      </c>
      <c r="P43" s="11"/>
      <c r="Q43" s="11"/>
    </row>
    <row r="44" spans="1:17" ht="30" customHeight="1" x14ac:dyDescent="0.2">
      <c r="A44" s="2">
        <v>38</v>
      </c>
      <c r="B44" s="34"/>
      <c r="C44" s="34"/>
      <c r="D44" s="7" t="s">
        <v>128</v>
      </c>
      <c r="E44" s="7" t="s">
        <v>80</v>
      </c>
      <c r="F44" s="7"/>
      <c r="G44" s="8">
        <v>46404</v>
      </c>
      <c r="H44" s="8">
        <f t="shared" si="1"/>
        <v>46404</v>
      </c>
      <c r="I44" s="2">
        <v>1</v>
      </c>
      <c r="J44" s="8"/>
      <c r="K44" s="8"/>
      <c r="L44" s="7" t="s">
        <v>129</v>
      </c>
      <c r="M44" s="7"/>
      <c r="N44" s="9">
        <v>0</v>
      </c>
      <c r="O44" s="2" t="s">
        <v>37</v>
      </c>
      <c r="P44" s="7"/>
      <c r="Q44" s="7"/>
    </row>
    <row r="45" spans="1:17" ht="30" customHeight="1" x14ac:dyDescent="0.2">
      <c r="A45" s="10">
        <v>39</v>
      </c>
      <c r="B45" s="34"/>
      <c r="C45" s="34"/>
      <c r="D45" s="11" t="s">
        <v>130</v>
      </c>
      <c r="E45" s="11" t="s">
        <v>73</v>
      </c>
      <c r="F45" s="11"/>
      <c r="G45" s="12">
        <v>46405</v>
      </c>
      <c r="H45" s="12">
        <f t="shared" si="1"/>
        <v>46405</v>
      </c>
      <c r="I45" s="10">
        <v>1</v>
      </c>
      <c r="J45" s="12"/>
      <c r="K45" s="12"/>
      <c r="L45" s="11" t="s">
        <v>131</v>
      </c>
      <c r="M45" s="11"/>
      <c r="N45" s="13">
        <v>0</v>
      </c>
      <c r="O45" s="10" t="s">
        <v>37</v>
      </c>
      <c r="P45" s="11"/>
      <c r="Q45" s="11"/>
    </row>
    <row r="46" spans="1:17" ht="30" customHeight="1" x14ac:dyDescent="0.2">
      <c r="A46" s="2">
        <v>40</v>
      </c>
      <c r="B46" s="34">
        <v>10</v>
      </c>
      <c r="C46" s="40" t="s">
        <v>132</v>
      </c>
      <c r="D46" s="7" t="s">
        <v>133</v>
      </c>
      <c r="E46" s="7" t="s">
        <v>107</v>
      </c>
      <c r="F46" s="7"/>
      <c r="G46" s="8">
        <v>46406</v>
      </c>
      <c r="H46" s="8">
        <f t="shared" si="1"/>
        <v>46489</v>
      </c>
      <c r="I46" s="2">
        <v>60</v>
      </c>
      <c r="J46" s="8"/>
      <c r="K46" s="8"/>
      <c r="L46" s="7" t="s">
        <v>134</v>
      </c>
      <c r="M46" s="7"/>
      <c r="N46" s="9">
        <v>0</v>
      </c>
      <c r="O46" s="2" t="s">
        <v>37</v>
      </c>
      <c r="P46" s="7"/>
      <c r="Q46" s="7"/>
    </row>
    <row r="47" spans="1:17" ht="30" customHeight="1" x14ac:dyDescent="0.2">
      <c r="A47" s="10">
        <v>41</v>
      </c>
      <c r="B47" s="34"/>
      <c r="C47" s="34"/>
      <c r="D47" s="11" t="s">
        <v>135</v>
      </c>
      <c r="E47" s="11" t="s">
        <v>136</v>
      </c>
      <c r="F47" s="11"/>
      <c r="G47" s="12">
        <v>46406</v>
      </c>
      <c r="H47" s="12">
        <f t="shared" si="1"/>
        <v>46489</v>
      </c>
      <c r="I47" s="10">
        <v>60</v>
      </c>
      <c r="J47" s="12"/>
      <c r="K47" s="12"/>
      <c r="L47" s="11" t="s">
        <v>137</v>
      </c>
      <c r="M47" s="11"/>
      <c r="N47" s="13">
        <v>0</v>
      </c>
      <c r="O47" s="10" t="s">
        <v>37</v>
      </c>
      <c r="P47" s="11"/>
      <c r="Q47" s="11"/>
    </row>
    <row r="48" spans="1:17" ht="30" customHeight="1" x14ac:dyDescent="0.2">
      <c r="A48" s="2">
        <v>42</v>
      </c>
      <c r="B48" s="34"/>
      <c r="C48" s="34"/>
      <c r="D48" s="7" t="s">
        <v>138</v>
      </c>
      <c r="E48" s="7" t="s">
        <v>126</v>
      </c>
      <c r="F48" s="7"/>
      <c r="G48" s="8">
        <v>46468</v>
      </c>
      <c r="H48" s="8">
        <f t="shared" si="1"/>
        <v>46481</v>
      </c>
      <c r="I48" s="2">
        <v>10</v>
      </c>
      <c r="J48" s="8"/>
      <c r="K48" s="8"/>
      <c r="L48" s="7" t="s">
        <v>139</v>
      </c>
      <c r="M48" s="7"/>
      <c r="N48" s="9">
        <v>0</v>
      </c>
      <c r="O48" s="2" t="s">
        <v>37</v>
      </c>
      <c r="P48" s="7"/>
      <c r="Q48" s="7"/>
    </row>
    <row r="49" spans="1:15" x14ac:dyDescent="0.2">
      <c r="A49" s="41" t="s">
        <v>140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</row>
    <row r="50" spans="1:15" x14ac:dyDescent="0.2">
      <c r="A50" s="41" t="s">
        <v>141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</row>
    <row r="51" spans="1:15" x14ac:dyDescent="0.2">
      <c r="A51" s="41" t="s">
        <v>142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</row>
    <row r="52" spans="1:15" x14ac:dyDescent="0.2">
      <c r="A52" s="41" t="s">
        <v>143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</row>
    <row r="53" spans="1:15" x14ac:dyDescent="0.2">
      <c r="A53" s="41" t="s">
        <v>144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</row>
    <row r="54" spans="1:15" x14ac:dyDescent="0.2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</row>
  </sheetData>
  <mergeCells count="44">
    <mergeCell ref="A54:O54"/>
    <mergeCell ref="A49:O49"/>
    <mergeCell ref="A50:O50"/>
    <mergeCell ref="A51:O51"/>
    <mergeCell ref="A52:O52"/>
    <mergeCell ref="A53:O53"/>
    <mergeCell ref="B38:B41"/>
    <mergeCell ref="C38:C41"/>
    <mergeCell ref="B42:B45"/>
    <mergeCell ref="C42:C45"/>
    <mergeCell ref="B46:B48"/>
    <mergeCell ref="C46:C48"/>
    <mergeCell ref="B21:B24"/>
    <mergeCell ref="C21:C24"/>
    <mergeCell ref="B25:B28"/>
    <mergeCell ref="C25:C28"/>
    <mergeCell ref="B29:B37"/>
    <mergeCell ref="C29:C37"/>
    <mergeCell ref="B8:B11"/>
    <mergeCell ref="C8:C11"/>
    <mergeCell ref="B12:B15"/>
    <mergeCell ref="C12:C15"/>
    <mergeCell ref="B16:B20"/>
    <mergeCell ref="C16:C20"/>
    <mergeCell ref="M5:M6"/>
    <mergeCell ref="N5:N6"/>
    <mergeCell ref="O5:O6"/>
    <mergeCell ref="P5:P6"/>
    <mergeCell ref="Q5:Q6"/>
    <mergeCell ref="F5:F6"/>
    <mergeCell ref="G5:H5"/>
    <mergeCell ref="I5:I6"/>
    <mergeCell ref="J5:K5"/>
    <mergeCell ref="L5:L6"/>
    <mergeCell ref="A5:A6"/>
    <mergeCell ref="B5:B6"/>
    <mergeCell ref="C5:C6"/>
    <mergeCell ref="D5:D6"/>
    <mergeCell ref="E5:E6"/>
    <mergeCell ref="A1:Q1"/>
    <mergeCell ref="A2:L2"/>
    <mergeCell ref="A3:C3"/>
    <mergeCell ref="D3:G3"/>
    <mergeCell ref="H3:L3"/>
  </mergeCells>
  <conditionalFormatting sqref="N7:N48">
    <cfRule type="dataBar" priority="6">
      <dataBar>
        <cfvo type="num" val="0"/>
        <cfvo type="num" val="100"/>
        <color rgb="FF4F81BD"/>
      </dataBar>
      <extLst>
        <ext xmlns:x14="http://schemas.microsoft.com/office/spreadsheetml/2009/9/main" uri="{B025F937-C7B1-47D3-B67F-A62EFF666E3E}">
          <x14:id>{78CEC8F9-4720-47E2-B1BB-9B982DB3C5EA}</x14:id>
        </ext>
      </extLst>
    </cfRule>
  </conditionalFormatting>
  <conditionalFormatting sqref="O7:O48">
    <cfRule type="cellIs" dxfId="3" priority="2" operator="equal">
      <formula>"Chưa bắt đầu"</formula>
    </cfRule>
    <cfRule type="cellIs" dxfId="2" priority="3" operator="equal">
      <formula>"Đang thực hiện"</formula>
    </cfRule>
    <cfRule type="cellIs" dxfId="1" priority="4" operator="equal">
      <formula>"Hoàn thành"</formula>
    </cfRule>
    <cfRule type="cellIs" dxfId="0" priority="5" operator="equal">
      <formula>"Trễ hạn"</formula>
    </cfRule>
  </conditionalFormatting>
  <dataValidations count="1">
    <dataValidation type="list" allowBlank="1" sqref="O7:O48" xr:uid="{00000000-0002-0000-0000-000000000000}">
      <formula1>"Chưa bắt đầu,Đang thực hiện,Hoàn thành,Trễ hạn"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CEC8F9-4720-47E2-B1BB-9B982DB3C5EA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4F81BD"/>
            </x14:dataBar>
          </x14:cfRule>
          <xm:sqref>N7:N48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8"/>
  <sheetViews>
    <sheetView showGridLines="0" tabSelected="1" zoomScaleNormal="100" workbookViewId="0">
      <pane ySplit="4" topLeftCell="A28" activePane="bottomLeft" state="frozen"/>
      <selection pane="bottomLeft" activeCell="G9" sqref="G9"/>
    </sheetView>
  </sheetViews>
  <sheetFormatPr baseColWidth="10" defaultColWidth="8.6640625" defaultRowHeight="15" x14ac:dyDescent="0.2"/>
  <cols>
    <col min="1" max="1" width="6" customWidth="1"/>
    <col min="2" max="2" width="26" customWidth="1"/>
    <col min="3" max="3" width="46" customWidth="1"/>
    <col min="4" max="5" width="13" customWidth="1"/>
    <col min="6" max="7" width="10" customWidth="1"/>
    <col min="8" max="9" width="11" customWidth="1"/>
  </cols>
  <sheetData>
    <row r="1" spans="1:9" ht="19" x14ac:dyDescent="0.2">
      <c r="A1" s="42" t="s">
        <v>145</v>
      </c>
      <c r="B1" s="42"/>
      <c r="C1" s="42"/>
      <c r="D1" s="42"/>
      <c r="E1" s="42"/>
      <c r="F1" s="42"/>
      <c r="G1" s="42"/>
    </row>
    <row r="2" spans="1:9" x14ac:dyDescent="0.2">
      <c r="A2" s="43" t="s">
        <v>146</v>
      </c>
      <c r="B2" s="43"/>
      <c r="C2" s="43"/>
      <c r="D2" s="43"/>
      <c r="E2" s="43"/>
      <c r="F2" s="43"/>
      <c r="G2" s="43"/>
    </row>
    <row r="4" spans="1:9" ht="40" customHeight="1" x14ac:dyDescent="0.2">
      <c r="A4" s="14" t="s">
        <v>4</v>
      </c>
      <c r="B4" s="14" t="s">
        <v>147</v>
      </c>
      <c r="C4" s="14" t="s">
        <v>148</v>
      </c>
      <c r="D4" s="14" t="s">
        <v>149</v>
      </c>
      <c r="E4" s="14" t="s">
        <v>150</v>
      </c>
      <c r="F4" s="14" t="s">
        <v>151</v>
      </c>
      <c r="G4" s="14" t="s">
        <v>152</v>
      </c>
      <c r="H4" s="14" t="s">
        <v>153</v>
      </c>
      <c r="I4" s="14" t="s">
        <v>154</v>
      </c>
    </row>
    <row r="5" spans="1:9" x14ac:dyDescent="0.2">
      <c r="A5" s="15">
        <f>'Master Plan'!A7</f>
        <v>1</v>
      </c>
      <c r="B5" s="16" t="str">
        <f>'Master Plan'!C7</f>
        <v>Kickoff dự án</v>
      </c>
      <c r="C5" s="17" t="str">
        <f>'Master Plan'!D7</f>
        <v>Họp kickoff dự án với đầy đủ các bên</v>
      </c>
      <c r="D5" s="18">
        <f>'Master Plan'!G7</f>
        <v>46216</v>
      </c>
      <c r="E5" s="18">
        <f>'Master Plan'!H7</f>
        <v>46216</v>
      </c>
      <c r="F5" s="19">
        <f t="shared" ref="F5:F46" si="0">E5-D5+1</f>
        <v>1</v>
      </c>
      <c r="G5" s="20">
        <f>'Master Plan'!N7/100</f>
        <v>1</v>
      </c>
      <c r="H5" s="21">
        <f t="shared" ref="H5:H46" si="1">ROUND(F5*G5,2)</f>
        <v>1</v>
      </c>
      <c r="I5" s="21">
        <f t="shared" ref="I5:I46" si="2">F5-H5</f>
        <v>0</v>
      </c>
    </row>
    <row r="6" spans="1:9" x14ac:dyDescent="0.2">
      <c r="A6" s="22">
        <f>'Master Plan'!A8</f>
        <v>2</v>
      </c>
      <c r="B6" s="23" t="str">
        <f>'Master Plan'!C8</f>
        <v>Khảo sát &amp; thu thập yêu cầu</v>
      </c>
      <c r="C6" s="24" t="str">
        <f>'Master Plan'!D8</f>
        <v>Lên kế hoạch khảo sát, chuẩn bị bảng câu hỏi</v>
      </c>
      <c r="D6" s="25">
        <f>'Master Plan'!G8</f>
        <v>46216</v>
      </c>
      <c r="E6" s="25">
        <f>'Master Plan'!H8</f>
        <v>46217</v>
      </c>
      <c r="F6" s="26">
        <f t="shared" si="0"/>
        <v>2</v>
      </c>
      <c r="G6" s="27">
        <f>'Master Plan'!N8/100</f>
        <v>0.8</v>
      </c>
      <c r="H6" s="28">
        <f t="shared" si="1"/>
        <v>1.6</v>
      </c>
      <c r="I6" s="28">
        <f t="shared" si="2"/>
        <v>0.39999999999999991</v>
      </c>
    </row>
    <row r="7" spans="1:9" ht="28" x14ac:dyDescent="0.2">
      <c r="A7" s="15">
        <f>'Master Plan'!A9</f>
        <v>3</v>
      </c>
      <c r="B7" s="16" t="str">
        <f>'Master Plan'!C8</f>
        <v>Khảo sát &amp; thu thập yêu cầu</v>
      </c>
      <c r="C7" s="17" t="str">
        <f>'Master Plan'!D9</f>
        <v>Phỏng vấn các bên liên quan (Quản lý, Tiếp nhận, Điều phối, Thủ kho, Thợ, Kế toán)</v>
      </c>
      <c r="D7" s="18">
        <f>'Master Plan'!G9</f>
        <v>46218</v>
      </c>
      <c r="E7" s="18">
        <f>'Master Plan'!H9</f>
        <v>46224</v>
      </c>
      <c r="F7" s="19">
        <f t="shared" si="0"/>
        <v>7</v>
      </c>
      <c r="G7" s="20">
        <f>'Master Plan'!N9/100</f>
        <v>0.1</v>
      </c>
      <c r="H7" s="21">
        <f t="shared" si="1"/>
        <v>0.7</v>
      </c>
      <c r="I7" s="21">
        <f t="shared" si="2"/>
        <v>6.3</v>
      </c>
    </row>
    <row r="8" spans="1:9" ht="28" x14ac:dyDescent="0.2">
      <c r="A8" s="22">
        <f>'Master Plan'!A10</f>
        <v>4</v>
      </c>
      <c r="B8" s="23" t="str">
        <f>'Master Plan'!C8</f>
        <v>Khảo sát &amp; thu thập yêu cầu</v>
      </c>
      <c r="C8" s="24" t="str">
        <f>'Master Plan'!D10</f>
        <v>Khảo sát quy trình hiện tại, thu thập biểu mẫu/phiếu bảo hành</v>
      </c>
      <c r="D8" s="25">
        <f>'Master Plan'!G10</f>
        <v>46218</v>
      </c>
      <c r="E8" s="25">
        <f>'Master Plan'!H10</f>
        <v>46224</v>
      </c>
      <c r="F8" s="26">
        <f t="shared" si="0"/>
        <v>7</v>
      </c>
      <c r="G8" s="27">
        <f>'Master Plan'!N10/100</f>
        <v>0</v>
      </c>
      <c r="H8" s="28">
        <f t="shared" si="1"/>
        <v>0</v>
      </c>
      <c r="I8" s="28">
        <f t="shared" si="2"/>
        <v>7</v>
      </c>
    </row>
    <row r="9" spans="1:9" x14ac:dyDescent="0.2">
      <c r="A9" s="15">
        <f>'Master Plan'!A11</f>
        <v>5</v>
      </c>
      <c r="B9" s="16" t="str">
        <f>'Master Plan'!C8</f>
        <v>Khảo sát &amp; thu thập yêu cầu</v>
      </c>
      <c r="C9" s="17" t="str">
        <f>'Master Plan'!D11</f>
        <v>Tổng hợp báo cáo khảo sát &amp; danh sách yêu cầu sơ bộ</v>
      </c>
      <c r="D9" s="18">
        <f>'Master Plan'!G11</f>
        <v>46225</v>
      </c>
      <c r="E9" s="18">
        <f>'Master Plan'!H11</f>
        <v>46229</v>
      </c>
      <c r="F9" s="19">
        <f t="shared" si="0"/>
        <v>5</v>
      </c>
      <c r="G9" s="20">
        <f>'Master Plan'!N11/100</f>
        <v>0</v>
      </c>
      <c r="H9" s="21">
        <f t="shared" si="1"/>
        <v>0</v>
      </c>
      <c r="I9" s="21">
        <f t="shared" si="2"/>
        <v>5</v>
      </c>
    </row>
    <row r="10" spans="1:9" ht="28" x14ac:dyDescent="0.2">
      <c r="A10" s="22">
        <f>'Master Plan'!A12</f>
        <v>6</v>
      </c>
      <c r="B10" s="23" t="str">
        <f>'Master Plan'!C12</f>
        <v>Phân tích nghiệp vụ &amp; Thiết kế giải pháp</v>
      </c>
      <c r="C10" s="24" t="str">
        <f>'Master Plan'!D12</f>
        <v>Thiết kế quy trình nghiệp vụ mới (To-be / BPMN)</v>
      </c>
      <c r="D10" s="25">
        <f>'Master Plan'!G12</f>
        <v>46230</v>
      </c>
      <c r="E10" s="25">
        <f>'Master Plan'!H12</f>
        <v>46232</v>
      </c>
      <c r="F10" s="26">
        <f t="shared" si="0"/>
        <v>3</v>
      </c>
      <c r="G10" s="27">
        <f>'Master Plan'!N12/100</f>
        <v>0</v>
      </c>
      <c r="H10" s="28">
        <f t="shared" si="1"/>
        <v>0</v>
      </c>
      <c r="I10" s="28">
        <f t="shared" si="2"/>
        <v>3</v>
      </c>
    </row>
    <row r="11" spans="1:9" ht="28" x14ac:dyDescent="0.2">
      <c r="A11" s="15">
        <f>'Master Plan'!A13</f>
        <v>7</v>
      </c>
      <c r="B11" s="16" t="str">
        <f>'Master Plan'!C12</f>
        <v>Phân tích nghiệp vụ &amp; Thiết kế giải pháp</v>
      </c>
      <c r="C11" s="17" t="str">
        <f>'Master Plan'!D13</f>
        <v>Thiết kế wireframe &amp; mockup UI/UX (App + Web)</v>
      </c>
      <c r="D11" s="18">
        <f>'Master Plan'!G13</f>
        <v>46230</v>
      </c>
      <c r="E11" s="18">
        <f>'Master Plan'!H13</f>
        <v>46237</v>
      </c>
      <c r="F11" s="19">
        <f t="shared" si="0"/>
        <v>8</v>
      </c>
      <c r="G11" s="20">
        <f>'Master Plan'!N13/100</f>
        <v>0</v>
      </c>
      <c r="H11" s="21">
        <f t="shared" si="1"/>
        <v>0</v>
      </c>
      <c r="I11" s="21">
        <f t="shared" si="2"/>
        <v>8</v>
      </c>
    </row>
    <row r="12" spans="1:9" ht="28" x14ac:dyDescent="0.2">
      <c r="A12" s="22">
        <f>'Master Plan'!A14</f>
        <v>8</v>
      </c>
      <c r="B12" s="23" t="str">
        <f>'Master Plan'!C12</f>
        <v>Phân tích nghiệp vụ &amp; Thiết kế giải pháp</v>
      </c>
      <c r="C12" s="24" t="str">
        <f>'Master Plan'!D14</f>
        <v>Thiết kế mô hình dữ liệu (ERD)</v>
      </c>
      <c r="D12" s="25">
        <f>'Master Plan'!G14</f>
        <v>46233</v>
      </c>
      <c r="E12" s="25">
        <f>'Master Plan'!H14</f>
        <v>46237</v>
      </c>
      <c r="F12" s="26">
        <f t="shared" si="0"/>
        <v>5</v>
      </c>
      <c r="G12" s="27">
        <f>'Master Plan'!N14/100</f>
        <v>0</v>
      </c>
      <c r="H12" s="28">
        <f t="shared" si="1"/>
        <v>0</v>
      </c>
      <c r="I12" s="28">
        <f t="shared" si="2"/>
        <v>5</v>
      </c>
    </row>
    <row r="13" spans="1:9" ht="28" x14ac:dyDescent="0.2">
      <c r="A13" s="15">
        <f>'Master Plan'!A15</f>
        <v>9</v>
      </c>
      <c r="B13" s="16" t="str">
        <f>'Master Plan'!C12</f>
        <v>Phân tích nghiệp vụ &amp; Thiết kế giải pháp</v>
      </c>
      <c r="C13" s="17" t="str">
        <f>'Master Plan'!D15</f>
        <v>Phác thảo kiến trúc hệ thống tổng thể &amp; phân quyền người dùng</v>
      </c>
      <c r="D13" s="18">
        <f>'Master Plan'!G15</f>
        <v>46238</v>
      </c>
      <c r="E13" s="18">
        <f>'Master Plan'!H15</f>
        <v>46243</v>
      </c>
      <c r="F13" s="19">
        <f t="shared" si="0"/>
        <v>6</v>
      </c>
      <c r="G13" s="20">
        <f>'Master Plan'!N15/100</f>
        <v>0</v>
      </c>
      <c r="H13" s="21">
        <f t="shared" si="1"/>
        <v>0</v>
      </c>
      <c r="I13" s="21">
        <f t="shared" si="2"/>
        <v>6</v>
      </c>
    </row>
    <row r="14" spans="1:9" x14ac:dyDescent="0.2">
      <c r="A14" s="22">
        <f>'Master Plan'!A16</f>
        <v>10</v>
      </c>
      <c r="B14" s="23" t="str">
        <f>'Master Plan'!C16</f>
        <v>Soạn thảo tài liệu</v>
      </c>
      <c r="C14" s="24" t="str">
        <f>'Master Plan'!D16</f>
        <v>Soạn BRD (Business Requirement Document)</v>
      </c>
      <c r="D14" s="25">
        <f>'Master Plan'!G16</f>
        <v>46244</v>
      </c>
      <c r="E14" s="25">
        <f>'Master Plan'!H16</f>
        <v>46246</v>
      </c>
      <c r="F14" s="26">
        <f t="shared" si="0"/>
        <v>3</v>
      </c>
      <c r="G14" s="27">
        <f>'Master Plan'!N16/100</f>
        <v>0</v>
      </c>
      <c r="H14" s="28">
        <f t="shared" si="1"/>
        <v>0</v>
      </c>
      <c r="I14" s="28">
        <f t="shared" si="2"/>
        <v>3</v>
      </c>
    </row>
    <row r="15" spans="1:9" x14ac:dyDescent="0.2">
      <c r="A15" s="15">
        <f>'Master Plan'!A17</f>
        <v>11</v>
      </c>
      <c r="B15" s="16" t="str">
        <f>'Master Plan'!C16</f>
        <v>Soạn thảo tài liệu</v>
      </c>
      <c r="C15" s="17" t="str">
        <f>'Master Plan'!D17</f>
        <v>Soạn SRS &amp; Use case chi tiết</v>
      </c>
      <c r="D15" s="18">
        <f>'Master Plan'!G17</f>
        <v>46247</v>
      </c>
      <c r="E15" s="18">
        <f>'Master Plan'!H17</f>
        <v>46252</v>
      </c>
      <c r="F15" s="19">
        <f t="shared" si="0"/>
        <v>6</v>
      </c>
      <c r="G15" s="20">
        <f>'Master Plan'!N17/100</f>
        <v>0</v>
      </c>
      <c r="H15" s="21">
        <f t="shared" si="1"/>
        <v>0</v>
      </c>
      <c r="I15" s="21">
        <f t="shared" si="2"/>
        <v>6</v>
      </c>
    </row>
    <row r="16" spans="1:9" x14ac:dyDescent="0.2">
      <c r="A16" s="22">
        <f>'Master Plan'!A18</f>
        <v>12</v>
      </c>
      <c r="B16" s="23" t="str">
        <f>'Master Plan'!C16</f>
        <v>Soạn thảo tài liệu</v>
      </c>
      <c r="C16" s="24" t="str">
        <f>'Master Plan'!D18</f>
        <v>Hoàn thiện tài liệu UI/UX &amp; Prototype tương tác</v>
      </c>
      <c r="D16" s="25">
        <f>'Master Plan'!G18</f>
        <v>46244</v>
      </c>
      <c r="E16" s="25">
        <f>'Master Plan'!H18</f>
        <v>46250</v>
      </c>
      <c r="F16" s="26">
        <f t="shared" si="0"/>
        <v>7</v>
      </c>
      <c r="G16" s="27">
        <f>'Master Plan'!N18/100</f>
        <v>0</v>
      </c>
      <c r="H16" s="28">
        <f t="shared" si="1"/>
        <v>0</v>
      </c>
      <c r="I16" s="28">
        <f t="shared" si="2"/>
        <v>7</v>
      </c>
    </row>
    <row r="17" spans="1:9" x14ac:dyDescent="0.2">
      <c r="A17" s="15">
        <f>'Master Plan'!A19</f>
        <v>13</v>
      </c>
      <c r="B17" s="16" t="str">
        <f>'Master Plan'!C16</f>
        <v>Soạn thảo tài liệu</v>
      </c>
      <c r="C17" s="17" t="str">
        <f>'Master Plan'!D19</f>
        <v>Soạn tài liệu kiến trúc hệ thống &amp; API specification</v>
      </c>
      <c r="D17" s="18">
        <f>'Master Plan'!G19</f>
        <v>46244</v>
      </c>
      <c r="E17" s="18">
        <f>'Master Plan'!H19</f>
        <v>46250</v>
      </c>
      <c r="F17" s="19">
        <f t="shared" si="0"/>
        <v>7</v>
      </c>
      <c r="G17" s="20">
        <f>'Master Plan'!N19/100</f>
        <v>0</v>
      </c>
      <c r="H17" s="21">
        <f t="shared" si="1"/>
        <v>0</v>
      </c>
      <c r="I17" s="21">
        <f t="shared" si="2"/>
        <v>7</v>
      </c>
    </row>
    <row r="18" spans="1:9" x14ac:dyDescent="0.2">
      <c r="A18" s="22">
        <f>'Master Plan'!A20</f>
        <v>14</v>
      </c>
      <c r="B18" s="23" t="str">
        <f>'Master Plan'!C16</f>
        <v>Soạn thảo tài liệu</v>
      </c>
      <c r="C18" s="24" t="str">
        <f>'Master Plan'!D20</f>
        <v>Soạn kế hoạch kiểm thử tổng thể (Test Strategy)</v>
      </c>
      <c r="D18" s="25">
        <f>'Master Plan'!G20</f>
        <v>46247</v>
      </c>
      <c r="E18" s="25">
        <f>'Master Plan'!H20</f>
        <v>46251</v>
      </c>
      <c r="F18" s="26">
        <f t="shared" si="0"/>
        <v>5</v>
      </c>
      <c r="G18" s="27">
        <f>'Master Plan'!N20/100</f>
        <v>0</v>
      </c>
      <c r="H18" s="28">
        <f t="shared" si="1"/>
        <v>0</v>
      </c>
      <c r="I18" s="28">
        <f t="shared" si="2"/>
        <v>5</v>
      </c>
    </row>
    <row r="19" spans="1:9" ht="28" x14ac:dyDescent="0.2">
      <c r="A19" s="15">
        <f>'Master Plan'!A21</f>
        <v>15</v>
      </c>
      <c r="B19" s="16" t="str">
        <f>'Master Plan'!C21</f>
        <v>Review &amp; Confirm tài liệu</v>
      </c>
      <c r="C19" s="17" t="str">
        <f>'Master Plan'!D21</f>
        <v>Trình bày tài liệu cho khách hàng &amp; các phòng ban liên quan</v>
      </c>
      <c r="D19" s="18">
        <f>'Master Plan'!G21</f>
        <v>46252</v>
      </c>
      <c r="E19" s="18">
        <f>'Master Plan'!H21</f>
        <v>46252</v>
      </c>
      <c r="F19" s="19">
        <f t="shared" si="0"/>
        <v>1</v>
      </c>
      <c r="G19" s="20">
        <f>'Master Plan'!N21/100</f>
        <v>0</v>
      </c>
      <c r="H19" s="21">
        <f t="shared" si="1"/>
        <v>0</v>
      </c>
      <c r="I19" s="21">
        <f t="shared" si="2"/>
        <v>1</v>
      </c>
    </row>
    <row r="20" spans="1:9" x14ac:dyDescent="0.2">
      <c r="A20" s="22">
        <f>'Master Plan'!A22</f>
        <v>16</v>
      </c>
      <c r="B20" s="23" t="str">
        <f>'Master Plan'!C21</f>
        <v>Review &amp; Confirm tài liệu</v>
      </c>
      <c r="C20" s="24" t="str">
        <f>'Master Plan'!D22</f>
        <v>Thu thập góp ý &amp; chỉnh sửa (vòng 1)</v>
      </c>
      <c r="D20" s="25">
        <f>'Master Plan'!G22</f>
        <v>46253</v>
      </c>
      <c r="E20" s="25">
        <f>'Master Plan'!H22</f>
        <v>46254</v>
      </c>
      <c r="F20" s="26">
        <f t="shared" si="0"/>
        <v>2</v>
      </c>
      <c r="G20" s="27">
        <f>'Master Plan'!N22/100</f>
        <v>0</v>
      </c>
      <c r="H20" s="28">
        <f t="shared" si="1"/>
        <v>0</v>
      </c>
      <c r="I20" s="28">
        <f t="shared" si="2"/>
        <v>2</v>
      </c>
    </row>
    <row r="21" spans="1:9" x14ac:dyDescent="0.2">
      <c r="A21" s="15">
        <f>'Master Plan'!A23</f>
        <v>17</v>
      </c>
      <c r="B21" s="16" t="str">
        <f>'Master Plan'!C21</f>
        <v>Review &amp; Confirm tài liệu</v>
      </c>
      <c r="C21" s="17" t="str">
        <f>'Master Plan'!D23</f>
        <v>Thu thập góp ý &amp; chỉnh sửa (vòng 2 - nếu cần)</v>
      </c>
      <c r="D21" s="18">
        <f>'Master Plan'!G23</f>
        <v>46255</v>
      </c>
      <c r="E21" s="18">
        <f>'Master Plan'!H23</f>
        <v>46258</v>
      </c>
      <c r="F21" s="19">
        <f t="shared" si="0"/>
        <v>4</v>
      </c>
      <c r="G21" s="20">
        <f>'Master Plan'!N23/100</f>
        <v>0</v>
      </c>
      <c r="H21" s="21">
        <f t="shared" si="1"/>
        <v>0</v>
      </c>
      <c r="I21" s="21">
        <f t="shared" si="2"/>
        <v>4</v>
      </c>
    </row>
    <row r="22" spans="1:9" x14ac:dyDescent="0.2">
      <c r="A22" s="22">
        <f>'Master Plan'!A24</f>
        <v>18</v>
      </c>
      <c r="B22" s="23" t="str">
        <f>'Master Plan'!C21</f>
        <v>Review &amp; Confirm tài liệu</v>
      </c>
      <c r="C22" s="24" t="str">
        <f>'Master Plan'!D24</f>
        <v>Khách hàng ký xác nhận (sign-off) tài liệu</v>
      </c>
      <c r="D22" s="25">
        <f>'Master Plan'!G24</f>
        <v>46259</v>
      </c>
      <c r="E22" s="25">
        <f>'Master Plan'!H24</f>
        <v>46259</v>
      </c>
      <c r="F22" s="26">
        <f t="shared" si="0"/>
        <v>1</v>
      </c>
      <c r="G22" s="27">
        <f>'Master Plan'!N24/100</f>
        <v>0</v>
      </c>
      <c r="H22" s="28">
        <f t="shared" si="1"/>
        <v>0</v>
      </c>
      <c r="I22" s="28">
        <f t="shared" si="2"/>
        <v>1</v>
      </c>
    </row>
    <row r="23" spans="1:9" ht="28" x14ac:dyDescent="0.2">
      <c r="A23" s="15">
        <f>'Master Plan'!A25</f>
        <v>19</v>
      </c>
      <c r="B23" s="16" t="str">
        <f>'Master Plan'!C25</f>
        <v>Chuyển giao cho đội phát triển (Transfer)</v>
      </c>
      <c r="C23" s="17" t="str">
        <f>'Master Plan'!D25</f>
        <v>Bàn giao tài liệu, giải thích chi tiết cho Dev/QA/Designer Lead</v>
      </c>
      <c r="D23" s="18">
        <f>'Master Plan'!G25</f>
        <v>46260</v>
      </c>
      <c r="E23" s="18">
        <f>'Master Plan'!H25</f>
        <v>46260</v>
      </c>
      <c r="F23" s="19">
        <f t="shared" si="0"/>
        <v>1</v>
      </c>
      <c r="G23" s="20">
        <f>'Master Plan'!N25/100</f>
        <v>0</v>
      </c>
      <c r="H23" s="21">
        <f t="shared" si="1"/>
        <v>0</v>
      </c>
      <c r="I23" s="21">
        <f t="shared" si="2"/>
        <v>1</v>
      </c>
    </row>
    <row r="24" spans="1:9" ht="28" x14ac:dyDescent="0.2">
      <c r="A24" s="22">
        <f>'Master Plan'!A26</f>
        <v>20</v>
      </c>
      <c r="B24" s="23" t="str">
        <f>'Master Plan'!C25</f>
        <v>Chuyển giao cho đội phát triển (Transfer)</v>
      </c>
      <c r="C24" s="24" t="str">
        <f>'Master Plan'!D26</f>
        <v>Phân rã Epic → User Story, xây dựng Product Backlog</v>
      </c>
      <c r="D24" s="25">
        <f>'Master Plan'!G26</f>
        <v>46261</v>
      </c>
      <c r="E24" s="25">
        <f>'Master Plan'!H26</f>
        <v>46264</v>
      </c>
      <c r="F24" s="26">
        <f t="shared" si="0"/>
        <v>4</v>
      </c>
      <c r="G24" s="27">
        <f>'Master Plan'!N26/100</f>
        <v>0</v>
      </c>
      <c r="H24" s="28">
        <f t="shared" si="1"/>
        <v>0</v>
      </c>
      <c r="I24" s="28">
        <f t="shared" si="2"/>
        <v>4</v>
      </c>
    </row>
    <row r="25" spans="1:9" ht="28" x14ac:dyDescent="0.2">
      <c r="A25" s="15">
        <f>'Master Plan'!A27</f>
        <v>21</v>
      </c>
      <c r="B25" s="16" t="str">
        <f>'Master Plan'!C25</f>
        <v>Chuyển giao cho đội phát triển (Transfer)</v>
      </c>
      <c r="C25" s="17" t="str">
        <f>'Master Plan'!D27</f>
        <v>Chuẩn bị môi trường Dev/Staging, repository, CI/CD cơ bản</v>
      </c>
      <c r="D25" s="18">
        <f>'Master Plan'!G27</f>
        <v>46261</v>
      </c>
      <c r="E25" s="18">
        <f>'Master Plan'!H27</f>
        <v>46265</v>
      </c>
      <c r="F25" s="19">
        <f t="shared" si="0"/>
        <v>5</v>
      </c>
      <c r="G25" s="20">
        <f>'Master Plan'!N27/100</f>
        <v>0</v>
      </c>
      <c r="H25" s="21">
        <f t="shared" si="1"/>
        <v>0</v>
      </c>
      <c r="I25" s="21">
        <f t="shared" si="2"/>
        <v>5</v>
      </c>
    </row>
    <row r="26" spans="1:9" ht="28" x14ac:dyDescent="0.2">
      <c r="A26" s="22">
        <f>'Master Plan'!A28</f>
        <v>22</v>
      </c>
      <c r="B26" s="23" t="str">
        <f>'Master Plan'!C25</f>
        <v>Chuyển giao cho đội phát triển (Transfer)</v>
      </c>
      <c r="C26" s="24" t="str">
        <f>'Master Plan'!D28</f>
        <v>Ước lượng effort &amp; xác định velocity dự kiến</v>
      </c>
      <c r="D26" s="25">
        <f>'Master Plan'!G28</f>
        <v>46264</v>
      </c>
      <c r="E26" s="25">
        <f>'Master Plan'!H28</f>
        <v>46265</v>
      </c>
      <c r="F26" s="26">
        <f t="shared" si="0"/>
        <v>2</v>
      </c>
      <c r="G26" s="27">
        <f>'Master Plan'!N28/100</f>
        <v>0</v>
      </c>
      <c r="H26" s="28">
        <f t="shared" si="1"/>
        <v>0</v>
      </c>
      <c r="I26" s="28">
        <f t="shared" si="2"/>
        <v>2</v>
      </c>
    </row>
    <row r="27" spans="1:9" ht="28" x14ac:dyDescent="0.2">
      <c r="A27" s="15">
        <f>'Master Plan'!A29</f>
        <v>23</v>
      </c>
      <c r="B27" s="16" t="str">
        <f>'Master Plan'!C29</f>
        <v>Phát triển - Sprint 0 (Chuẩn bị)</v>
      </c>
      <c r="C27" s="17" t="str">
        <f>'Master Plan'!D29</f>
        <v>Setup hạ tầng, Design System, Authentication &amp; phân quyền cơ bản</v>
      </c>
      <c r="D27" s="18">
        <f>'Master Plan'!G29</f>
        <v>46266</v>
      </c>
      <c r="E27" s="18">
        <f>'Master Plan'!H29</f>
        <v>46272</v>
      </c>
      <c r="F27" s="19">
        <f t="shared" si="0"/>
        <v>7</v>
      </c>
      <c r="G27" s="20">
        <f>'Master Plan'!N29/100</f>
        <v>0</v>
      </c>
      <c r="H27" s="21">
        <f t="shared" si="1"/>
        <v>0</v>
      </c>
      <c r="I27" s="21">
        <f t="shared" si="2"/>
        <v>7</v>
      </c>
    </row>
    <row r="28" spans="1:9" ht="28" x14ac:dyDescent="0.2">
      <c r="A28" s="22">
        <f>'Master Plan'!A30</f>
        <v>24</v>
      </c>
      <c r="B28" s="23" t="str">
        <f>'Master Plan'!C29</f>
        <v>Phát triển - Sprint 0 (Chuẩn bị)</v>
      </c>
      <c r="C28" s="24" t="str">
        <f>'Master Plan'!D30</f>
        <v>App: Đặt lịch bảo hành/bảo dưỡng | Web: Tiếp nhận đơn (từ App + walk-in)</v>
      </c>
      <c r="D28" s="25">
        <f>'Master Plan'!G30</f>
        <v>46273</v>
      </c>
      <c r="E28" s="25">
        <f>'Master Plan'!H30</f>
        <v>46286</v>
      </c>
      <c r="F28" s="26">
        <f t="shared" si="0"/>
        <v>14</v>
      </c>
      <c r="G28" s="27">
        <f>'Master Plan'!N30/100</f>
        <v>0</v>
      </c>
      <c r="H28" s="28">
        <f t="shared" si="1"/>
        <v>0</v>
      </c>
      <c r="I28" s="28">
        <f t="shared" si="2"/>
        <v>14</v>
      </c>
    </row>
    <row r="29" spans="1:9" ht="42" x14ac:dyDescent="0.2">
      <c r="A29" s="15">
        <f>'Master Plan'!A31</f>
        <v>25</v>
      </c>
      <c r="B29" s="16" t="str">
        <f>'Master Plan'!C29</f>
        <v>Phát triển - Sprint 0 (Chuẩn bị)</v>
      </c>
      <c r="C29" s="17" t="str">
        <f>'Master Plan'!D31</f>
        <v>Web: Kỹ thuật đánh giá phương án sửa chữa &amp; lập báo giá  |  App: Khách hàng xem báo giá, xác nhận &amp; thanh toán (online / tiền mặt)</v>
      </c>
      <c r="D29" s="18">
        <f>'Master Plan'!G31</f>
        <v>46287</v>
      </c>
      <c r="E29" s="18">
        <f>'Master Plan'!H31</f>
        <v>46300</v>
      </c>
      <c r="F29" s="19">
        <f t="shared" si="0"/>
        <v>14</v>
      </c>
      <c r="G29" s="20">
        <f>'Master Plan'!N31/100</f>
        <v>0</v>
      </c>
      <c r="H29" s="21">
        <f t="shared" si="1"/>
        <v>0</v>
      </c>
      <c r="I29" s="21">
        <f t="shared" si="2"/>
        <v>14</v>
      </c>
    </row>
    <row r="30" spans="1:9" ht="28" x14ac:dyDescent="0.2">
      <c r="A30" s="22">
        <f>'Master Plan'!A32</f>
        <v>26</v>
      </c>
      <c r="B30" s="23" t="str">
        <f>'Master Plan'!C29</f>
        <v>Phát triển - Sprint 0 (Chuẩn bị)</v>
      </c>
      <c r="C30" s="24" t="str">
        <f>'Master Plan'!D32</f>
        <v>Web: Điều phối thợ theo khu vực/lịch rảnh, hồ sơ &amp; chấm công thợ | App: Hiển thị trạng thái đơn real-time</v>
      </c>
      <c r="D30" s="25">
        <f>'Master Plan'!G32</f>
        <v>46301</v>
      </c>
      <c r="E30" s="25">
        <f>'Master Plan'!H32</f>
        <v>46314</v>
      </c>
      <c r="F30" s="26">
        <f t="shared" si="0"/>
        <v>14</v>
      </c>
      <c r="G30" s="27">
        <f>'Master Plan'!N32/100</f>
        <v>0</v>
      </c>
      <c r="H30" s="28">
        <f t="shared" si="1"/>
        <v>0</v>
      </c>
      <c r="I30" s="28">
        <f t="shared" si="2"/>
        <v>14</v>
      </c>
    </row>
    <row r="31" spans="1:9" ht="28" x14ac:dyDescent="0.2">
      <c r="A31" s="15">
        <f>'Master Plan'!A33</f>
        <v>27</v>
      </c>
      <c r="B31" s="16" t="str">
        <f>'Master Plan'!C29</f>
        <v>Phát triển - Sprint 0 (Chuẩn bị)</v>
      </c>
      <c r="C31" s="17" t="str">
        <f>'Master Plan'!D33</f>
        <v>App: Theo dõi tiến độ chi tiết, lịch sử dịch vụ, thông báo | Web: Nhật ký xử lý đơn &amp; hồ sơ khách hàng (CRM)</v>
      </c>
      <c r="D31" s="18">
        <f>'Master Plan'!G33</f>
        <v>46315</v>
      </c>
      <c r="E31" s="18">
        <f>'Master Plan'!H33</f>
        <v>46328</v>
      </c>
      <c r="F31" s="19">
        <f t="shared" si="0"/>
        <v>14</v>
      </c>
      <c r="G31" s="20">
        <f>'Master Plan'!N33/100</f>
        <v>0</v>
      </c>
      <c r="H31" s="21">
        <f t="shared" si="1"/>
        <v>0</v>
      </c>
      <c r="I31" s="21">
        <f t="shared" si="2"/>
        <v>14</v>
      </c>
    </row>
    <row r="32" spans="1:9" ht="28" x14ac:dyDescent="0.2">
      <c r="A32" s="22">
        <f>'Master Plan'!A34</f>
        <v>28</v>
      </c>
      <c r="B32" s="23" t="str">
        <f>'Master Plan'!C29</f>
        <v>Phát triển - Sprint 0 (Chuẩn bị)</v>
      </c>
      <c r="C32" s="24" t="str">
        <f>'Master Plan'!D34</f>
        <v>Web: Quản lý kho linh kiện (danh mục, tồn kho, nhập kho, cảnh báo tồn thấp)</v>
      </c>
      <c r="D32" s="25">
        <f>'Master Plan'!G34</f>
        <v>46329</v>
      </c>
      <c r="E32" s="25">
        <f>'Master Plan'!H34</f>
        <v>46342</v>
      </c>
      <c r="F32" s="26">
        <f t="shared" si="0"/>
        <v>14</v>
      </c>
      <c r="G32" s="27">
        <f>'Master Plan'!N34/100</f>
        <v>0</v>
      </c>
      <c r="H32" s="28">
        <f t="shared" si="1"/>
        <v>0</v>
      </c>
      <c r="I32" s="28">
        <f t="shared" si="2"/>
        <v>14</v>
      </c>
    </row>
    <row r="33" spans="1:9" ht="28" x14ac:dyDescent="0.2">
      <c r="A33" s="15">
        <f>'Master Plan'!A35</f>
        <v>29</v>
      </c>
      <c r="B33" s="16" t="str">
        <f>'Master Plan'!C29</f>
        <v>Phát triển - Sprint 0 (Chuẩn bị)</v>
      </c>
      <c r="C33" s="17" t="str">
        <f>'Master Plan'!D35</f>
        <v>Web: Cấp phát linh kiện cho thợ, đối soát | App: Xem chi tiết linh kiện &amp; chi phí</v>
      </c>
      <c r="D33" s="18">
        <f>'Master Plan'!G35</f>
        <v>46343</v>
      </c>
      <c r="E33" s="18">
        <f>'Master Plan'!H35</f>
        <v>46356</v>
      </c>
      <c r="F33" s="19">
        <f t="shared" si="0"/>
        <v>14</v>
      </c>
      <c r="G33" s="20">
        <f>'Master Plan'!N35/100</f>
        <v>0</v>
      </c>
      <c r="H33" s="21">
        <f t="shared" si="1"/>
        <v>0</v>
      </c>
      <c r="I33" s="21">
        <f t="shared" si="2"/>
        <v>14</v>
      </c>
    </row>
    <row r="34" spans="1:9" ht="42" x14ac:dyDescent="0.2">
      <c r="A34" s="22">
        <f>'Master Plan'!A36</f>
        <v>30</v>
      </c>
      <c r="B34" s="23" t="str">
        <f>'Master Plan'!C29</f>
        <v>Phát triển - Sprint 0 (Chuẩn bị)</v>
      </c>
      <c r="C34" s="24" t="str">
        <f>'Master Plan'!D36</f>
        <v>App: Đánh giá dịch vụ | Web: Dashboard báo cáo, quản trị người dùng/phân quyền, nhật ký hoạt động (audit log), KPI thợ</v>
      </c>
      <c r="D34" s="25">
        <f>'Master Plan'!G36</f>
        <v>46357</v>
      </c>
      <c r="E34" s="25">
        <f>'Master Plan'!H36</f>
        <v>46370</v>
      </c>
      <c r="F34" s="26">
        <f t="shared" si="0"/>
        <v>14</v>
      </c>
      <c r="G34" s="27">
        <f>'Master Plan'!N36/100</f>
        <v>0</v>
      </c>
      <c r="H34" s="28">
        <f t="shared" si="1"/>
        <v>0</v>
      </c>
      <c r="I34" s="28">
        <f t="shared" si="2"/>
        <v>14</v>
      </c>
    </row>
    <row r="35" spans="1:9" ht="28" x14ac:dyDescent="0.2">
      <c r="A35" s="15">
        <f>'Master Plan'!A37</f>
        <v>31</v>
      </c>
      <c r="B35" s="16" t="str">
        <f>'Master Plan'!C29</f>
        <v>Phát triển - Sprint 0 (Chuẩn bị)</v>
      </c>
      <c r="C35" s="17" t="str">
        <f>'Master Plan'!D37</f>
        <v>Tối ưu hiệu năng, hoàn thiện UX, rà soát bảo mật, fix bug tồn đọng</v>
      </c>
      <c r="D35" s="18">
        <f>'Master Plan'!G37</f>
        <v>46371</v>
      </c>
      <c r="E35" s="18">
        <f>'Master Plan'!H37</f>
        <v>46384</v>
      </c>
      <c r="F35" s="19">
        <f t="shared" si="0"/>
        <v>14</v>
      </c>
      <c r="G35" s="20">
        <f>'Master Plan'!N37/100</f>
        <v>0</v>
      </c>
      <c r="H35" s="21">
        <f t="shared" si="1"/>
        <v>0</v>
      </c>
      <c r="I35" s="21">
        <f t="shared" si="2"/>
        <v>14</v>
      </c>
    </row>
    <row r="36" spans="1:9" x14ac:dyDescent="0.2">
      <c r="A36" s="22">
        <f>'Master Plan'!A38</f>
        <v>32</v>
      </c>
      <c r="B36" s="23" t="str">
        <f>'Master Plan'!C38</f>
        <v>Kiểm thử hệ thống (SIT/UAT)</v>
      </c>
      <c r="C36" s="24" t="str">
        <f>'Master Plan'!D38</f>
        <v>SIT - Kiểm thử tích hợp App ↔ Backend ↔ Web</v>
      </c>
      <c r="D36" s="25">
        <f>'Master Plan'!G38</f>
        <v>46385</v>
      </c>
      <c r="E36" s="25">
        <f>'Master Plan'!H38</f>
        <v>46390</v>
      </c>
      <c r="F36" s="26">
        <f t="shared" si="0"/>
        <v>6</v>
      </c>
      <c r="G36" s="27">
        <f>'Master Plan'!N38/100</f>
        <v>0</v>
      </c>
      <c r="H36" s="28">
        <f t="shared" si="1"/>
        <v>0</v>
      </c>
      <c r="I36" s="28">
        <f t="shared" si="2"/>
        <v>6</v>
      </c>
    </row>
    <row r="37" spans="1:9" x14ac:dyDescent="0.2">
      <c r="A37" s="15">
        <f>'Master Plan'!A39</f>
        <v>33</v>
      </c>
      <c r="B37" s="16" t="str">
        <f>'Master Plan'!C38</f>
        <v>Kiểm thử hệ thống (SIT/UAT)</v>
      </c>
      <c r="C37" s="17" t="str">
        <f>'Master Plan'!D39</f>
        <v>UAT - Người dùng thực tế thử nghiệm theo kịch bản</v>
      </c>
      <c r="D37" s="18">
        <f>'Master Plan'!G39</f>
        <v>46391</v>
      </c>
      <c r="E37" s="18">
        <f>'Master Plan'!H39</f>
        <v>46394</v>
      </c>
      <c r="F37" s="19">
        <f t="shared" si="0"/>
        <v>4</v>
      </c>
      <c r="G37" s="20">
        <f>'Master Plan'!N39/100</f>
        <v>0</v>
      </c>
      <c r="H37" s="21">
        <f t="shared" si="1"/>
        <v>0</v>
      </c>
      <c r="I37" s="21">
        <f t="shared" si="2"/>
        <v>4</v>
      </c>
    </row>
    <row r="38" spans="1:9" x14ac:dyDescent="0.2">
      <c r="A38" s="22">
        <f>'Master Plan'!A40</f>
        <v>34</v>
      </c>
      <c r="B38" s="23" t="str">
        <f>'Master Plan'!C38</f>
        <v>Kiểm thử hệ thống (SIT/UAT)</v>
      </c>
      <c r="C38" s="24" t="str">
        <f>'Master Plan'!D40</f>
        <v>Fix lỗi &amp; retest theo mức độ ưu tiên</v>
      </c>
      <c r="D38" s="25">
        <f>'Master Plan'!G40</f>
        <v>46393</v>
      </c>
      <c r="E38" s="25">
        <f>'Master Plan'!H40</f>
        <v>46397</v>
      </c>
      <c r="F38" s="26">
        <f t="shared" si="0"/>
        <v>5</v>
      </c>
      <c r="G38" s="27">
        <f>'Master Plan'!N40/100</f>
        <v>0</v>
      </c>
      <c r="H38" s="28">
        <f t="shared" si="1"/>
        <v>0</v>
      </c>
      <c r="I38" s="28">
        <f t="shared" si="2"/>
        <v>5</v>
      </c>
    </row>
    <row r="39" spans="1:9" x14ac:dyDescent="0.2">
      <c r="A39" s="15">
        <f>'Master Plan'!A41</f>
        <v>35</v>
      </c>
      <c r="B39" s="16" t="str">
        <f>'Master Plan'!C38</f>
        <v>Kiểm thử hệ thống (SIT/UAT)</v>
      </c>
      <c r="C39" s="17" t="str">
        <f>'Master Plan'!D41</f>
        <v>Xác nhận UAT Pass từ khách hàng</v>
      </c>
      <c r="D39" s="18">
        <f>'Master Plan'!G41</f>
        <v>46398</v>
      </c>
      <c r="E39" s="18">
        <f>'Master Plan'!H41</f>
        <v>46398</v>
      </c>
      <c r="F39" s="19">
        <f t="shared" si="0"/>
        <v>1</v>
      </c>
      <c r="G39" s="20">
        <f>'Master Plan'!N41/100</f>
        <v>0</v>
      </c>
      <c r="H39" s="21">
        <f t="shared" si="1"/>
        <v>0</v>
      </c>
      <c r="I39" s="21">
        <f t="shared" si="2"/>
        <v>1</v>
      </c>
    </row>
    <row r="40" spans="1:9" ht="28" x14ac:dyDescent="0.2">
      <c r="A40" s="22">
        <f>'Master Plan'!A42</f>
        <v>36</v>
      </c>
      <c r="B40" s="23" t="str">
        <f>'Master Plan'!C42</f>
        <v>Bàn giao &amp; Nghiệm thu</v>
      </c>
      <c r="C40" s="24" t="str">
        <f>'Master Plan'!D42</f>
        <v>Triển khai lên môi trường Production (App Store/CH Play, Web hosting)</v>
      </c>
      <c r="D40" s="25">
        <f>'Master Plan'!G42</f>
        <v>46399</v>
      </c>
      <c r="E40" s="25">
        <f>'Master Plan'!H42</f>
        <v>46400</v>
      </c>
      <c r="F40" s="26">
        <f t="shared" si="0"/>
        <v>2</v>
      </c>
      <c r="G40" s="27">
        <f>'Master Plan'!N42/100</f>
        <v>0</v>
      </c>
      <c r="H40" s="28">
        <f t="shared" si="1"/>
        <v>0</v>
      </c>
      <c r="I40" s="28">
        <f t="shared" si="2"/>
        <v>2</v>
      </c>
    </row>
    <row r="41" spans="1:9" x14ac:dyDescent="0.2">
      <c r="A41" s="15">
        <f>'Master Plan'!A43</f>
        <v>37</v>
      </c>
      <c r="B41" s="16" t="str">
        <f>'Master Plan'!C42</f>
        <v>Bàn giao &amp; Nghiệm thu</v>
      </c>
      <c r="C41" s="17" t="str">
        <f>'Master Plan'!D43</f>
        <v>Đào tạo người dùng cho nhân viên Trung tâm ABC</v>
      </c>
      <c r="D41" s="18">
        <f>'Master Plan'!G43</f>
        <v>46400</v>
      </c>
      <c r="E41" s="18">
        <f>'Master Plan'!H43</f>
        <v>46401</v>
      </c>
      <c r="F41" s="19">
        <f t="shared" si="0"/>
        <v>2</v>
      </c>
      <c r="G41" s="20">
        <f>'Master Plan'!N43/100</f>
        <v>0</v>
      </c>
      <c r="H41" s="21">
        <f t="shared" si="1"/>
        <v>0</v>
      </c>
      <c r="I41" s="21">
        <f t="shared" si="2"/>
        <v>2</v>
      </c>
    </row>
    <row r="42" spans="1:9" x14ac:dyDescent="0.2">
      <c r="A42" s="22">
        <f>'Master Plan'!A44</f>
        <v>38</v>
      </c>
      <c r="B42" s="23" t="str">
        <f>'Master Plan'!C42</f>
        <v>Bàn giao &amp; Nghiệm thu</v>
      </c>
      <c r="C42" s="24" t="str">
        <f>'Master Plan'!D44</f>
        <v>Bàn giao tài liệu, mã nguồn, tài khoản quản trị</v>
      </c>
      <c r="D42" s="25">
        <f>'Master Plan'!G44</f>
        <v>46404</v>
      </c>
      <c r="E42" s="25">
        <f>'Master Plan'!H44</f>
        <v>46404</v>
      </c>
      <c r="F42" s="26">
        <f t="shared" si="0"/>
        <v>1</v>
      </c>
      <c r="G42" s="27">
        <f>'Master Plan'!N44/100</f>
        <v>0</v>
      </c>
      <c r="H42" s="28">
        <f t="shared" si="1"/>
        <v>0</v>
      </c>
      <c r="I42" s="28">
        <f t="shared" si="2"/>
        <v>1</v>
      </c>
    </row>
    <row r="43" spans="1:9" x14ac:dyDescent="0.2">
      <c r="A43" s="15">
        <f>'Master Plan'!A45</f>
        <v>39</v>
      </c>
      <c r="B43" s="16" t="str">
        <f>'Master Plan'!C42</f>
        <v>Bàn giao &amp; Nghiệm thu</v>
      </c>
      <c r="C43" s="17" t="str">
        <f>'Master Plan'!D45</f>
        <v>Ký biên bản nghiệm thu</v>
      </c>
      <c r="D43" s="18">
        <f>'Master Plan'!G45</f>
        <v>46405</v>
      </c>
      <c r="E43" s="18">
        <f>'Master Plan'!H45</f>
        <v>46405</v>
      </c>
      <c r="F43" s="19">
        <f t="shared" si="0"/>
        <v>1</v>
      </c>
      <c r="G43" s="20">
        <f>'Master Plan'!N45/100</f>
        <v>0</v>
      </c>
      <c r="H43" s="21">
        <f t="shared" si="1"/>
        <v>0</v>
      </c>
      <c r="I43" s="21">
        <f t="shared" si="2"/>
        <v>1</v>
      </c>
    </row>
    <row r="44" spans="1:9" x14ac:dyDescent="0.2">
      <c r="A44" s="22">
        <f>'Master Plan'!A46</f>
        <v>40</v>
      </c>
      <c r="B44" s="23" t="str">
        <f>'Master Plan'!C46</f>
        <v>Bảo hành &amp; Hỗ trợ vận hành</v>
      </c>
      <c r="C44" s="24" t="str">
        <f>'Master Plan'!D46</f>
        <v>Hỗ trợ kỹ thuật theo SLA cam kết (1-3 tháng bảo hành)</v>
      </c>
      <c r="D44" s="25">
        <f>'Master Plan'!G46</f>
        <v>46406</v>
      </c>
      <c r="E44" s="25">
        <f>'Master Plan'!H46</f>
        <v>46489</v>
      </c>
      <c r="F44" s="26">
        <f t="shared" si="0"/>
        <v>84</v>
      </c>
      <c r="G44" s="27">
        <f>'Master Plan'!N46/100</f>
        <v>0</v>
      </c>
      <c r="H44" s="28">
        <f t="shared" si="1"/>
        <v>0</v>
      </c>
      <c r="I44" s="28">
        <f t="shared" si="2"/>
        <v>84</v>
      </c>
    </row>
    <row r="45" spans="1:9" x14ac:dyDescent="0.2">
      <c r="A45" s="15">
        <f>'Master Plan'!A47</f>
        <v>41</v>
      </c>
      <c r="B45" s="16" t="str">
        <f>'Master Plan'!C46</f>
        <v>Bảo hành &amp; Hỗ trợ vận hành</v>
      </c>
      <c r="C45" s="17" t="str">
        <f>'Master Plan'!D47</f>
        <v>Theo dõi vận hành thực tế, xử lý sự cố phát sinh</v>
      </c>
      <c r="D45" s="18">
        <f>'Master Plan'!G47</f>
        <v>46406</v>
      </c>
      <c r="E45" s="18">
        <f>'Master Plan'!H47</f>
        <v>46489</v>
      </c>
      <c r="F45" s="19">
        <f t="shared" si="0"/>
        <v>84</v>
      </c>
      <c r="G45" s="20">
        <f>'Master Plan'!N47/100</f>
        <v>0</v>
      </c>
      <c r="H45" s="21">
        <f t="shared" si="1"/>
        <v>0</v>
      </c>
      <c r="I45" s="21">
        <f t="shared" si="2"/>
        <v>84</v>
      </c>
    </row>
    <row r="46" spans="1:9" ht="28" x14ac:dyDescent="0.2">
      <c r="A46" s="22">
        <f>'Master Plan'!A48</f>
        <v>42</v>
      </c>
      <c r="B46" s="23" t="str">
        <f>'Master Plan'!C46</f>
        <v>Bảo hành &amp; Hỗ trợ vận hành</v>
      </c>
      <c r="C46" s="24" t="str">
        <f>'Master Plan'!D48</f>
        <v>Thu thập phản hồi người dùng, đề xuất kế hoạch Phase 2</v>
      </c>
      <c r="D46" s="25">
        <f>'Master Plan'!G48</f>
        <v>46468</v>
      </c>
      <c r="E46" s="25">
        <f>'Master Plan'!H48</f>
        <v>46481</v>
      </c>
      <c r="F46" s="26">
        <f t="shared" si="0"/>
        <v>14</v>
      </c>
      <c r="G46" s="27">
        <f>'Master Plan'!N48/100</f>
        <v>0</v>
      </c>
      <c r="H46" s="28">
        <f t="shared" si="1"/>
        <v>0</v>
      </c>
      <c r="I46" s="28">
        <f t="shared" si="2"/>
        <v>14</v>
      </c>
    </row>
    <row r="48" spans="1:9" ht="31.5" customHeight="1" x14ac:dyDescent="0.2">
      <c r="A48" s="44" t="s">
        <v>155</v>
      </c>
      <c r="B48" s="44"/>
      <c r="C48" s="44"/>
      <c r="D48" s="44"/>
      <c r="E48" s="44"/>
      <c r="F48" s="44"/>
      <c r="G48" s="44"/>
      <c r="H48" s="44"/>
      <c r="I48" s="44"/>
    </row>
  </sheetData>
  <mergeCells count="3">
    <mergeCell ref="A1:G1"/>
    <mergeCell ref="A2:G2"/>
    <mergeCell ref="A48:I48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Master Plan</vt:lpstr>
      <vt:lpstr>Gantt Chart</vt:lpstr>
      <vt:lpstr>'Gantt Chart'!Print_Area</vt:lpstr>
      <vt:lpstr>'Master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Phạm Thu An</cp:lastModifiedBy>
  <cp:revision>1</cp:revision>
  <dcterms:created xsi:type="dcterms:W3CDTF">2026-07-11T09:46:16Z</dcterms:created>
  <dcterms:modified xsi:type="dcterms:W3CDTF">2026-07-13T07:34:07Z</dcterms:modified>
  <dc:language>en-US</dc:language>
</cp:coreProperties>
</file>