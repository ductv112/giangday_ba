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dmin\Downloads\BTVN BA\"/>
    </mc:Choice>
  </mc:AlternateContent>
  <xr:revisionPtr revIDLastSave="0" documentId="13_ncr:1_{1763DC02-08C6-48E6-AB3F-61242C5D1613}" xr6:coauthVersionLast="47" xr6:coauthVersionMax="47" xr10:uidLastSave="{00000000-0000-0000-0000-000000000000}"/>
  <bookViews>
    <workbookView xWindow="-120" yWindow="-120" windowWidth="20730" windowHeight="11040" activeTab="1" xr2:uid="{6A520702-D4A4-44E0-BBAE-EF83B4058912}"/>
  </bookViews>
  <sheets>
    <sheet name="TỔNG QUAN" sheetId="1" r:id="rId1"/>
    <sheet name="MASTER PLAN" sheetId="2" r:id="rId2"/>
    <sheet name="SPRINT PLAN" sheetId="4" r:id="rId3"/>
    <sheet name="Tiêu chí nghiệm thu" sheetId="5" r:id="rId4"/>
  </sheets>
  <definedNames>
    <definedName name="_xlnm._FilterDatabase" localSheetId="1" hidden="1">'MASTER PLAN'!$A$4:$K$35</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15" i="1" l="1"/>
  <c r="I16" i="1" s="1"/>
  <c r="J16" i="1" s="1"/>
  <c r="I17" i="1" s="1"/>
  <c r="J17" i="1" s="1"/>
  <c r="I18" i="1" s="1"/>
  <c r="J18" i="1" s="1"/>
  <c r="I19" i="1" s="1"/>
  <c r="J19" i="1" s="1"/>
  <c r="I20" i="1" s="1"/>
  <c r="J20" i="1" s="1"/>
  <c r="I21" i="1" s="1"/>
  <c r="J21" i="1" s="1"/>
  <c r="I22" i="1" s="1"/>
  <c r="J22" i="1" s="1"/>
  <c r="I23" i="1" s="1"/>
  <c r="J23" i="1" s="1"/>
  <c r="I15" i="1"/>
  <c r="J14" i="1"/>
  <c r="I14" i="1"/>
  <c r="K13" i="1"/>
  <c r="J13" i="1"/>
  <c r="L13" i="1"/>
  <c r="G5" i="2"/>
  <c r="H5" i="2" s="1"/>
  <c r="I13" i="1"/>
  <c r="L14" i="1"/>
  <c r="L15" i="1"/>
  <c r="L16" i="1"/>
  <c r="L17" i="1"/>
  <c r="L18" i="1"/>
  <c r="L19" i="1"/>
  <c r="L20" i="1"/>
  <c r="L21" i="1"/>
  <c r="L22" i="1"/>
  <c r="L23" i="1"/>
  <c r="G6" i="2" l="1"/>
  <c r="H6" i="2" s="1"/>
  <c r="G7" i="2" s="1"/>
  <c r="H7" i="2" s="1"/>
  <c r="G8" i="2" s="1"/>
  <c r="H8" i="2" l="1"/>
  <c r="G9" i="2" s="1"/>
  <c r="H9" i="2" s="1"/>
  <c r="G10" i="2" s="1"/>
  <c r="H10" i="2" s="1"/>
  <c r="G11" i="2" s="1"/>
  <c r="H11" i="2" s="1"/>
  <c r="G12" i="2" s="1"/>
  <c r="H12" i="2" s="1"/>
  <c r="G13" i="2" s="1"/>
  <c r="H13" i="2" s="1"/>
  <c r="G14" i="2" s="1"/>
  <c r="H14" i="2" s="1"/>
  <c r="G15" i="2" s="1"/>
  <c r="H15" i="2" s="1"/>
  <c r="G16" i="2" s="1"/>
  <c r="H16" i="2" s="1"/>
  <c r="G17" i="2" s="1"/>
  <c r="H17" i="2" s="1"/>
  <c r="G18" i="2" s="1"/>
  <c r="H18" i="2" s="1"/>
  <c r="G19" i="2" s="1"/>
  <c r="H19" i="2" s="1"/>
  <c r="G20" i="2" s="1"/>
  <c r="H20" i="2" s="1"/>
  <c r="G21" i="2" s="1"/>
  <c r="H21" i="2" s="1"/>
  <c r="G22" i="2" s="1"/>
  <c r="H22" i="2" s="1"/>
  <c r="G23" i="2" s="1"/>
  <c r="H23" i="2" s="1"/>
  <c r="G24" i="2" s="1"/>
  <c r="H24" i="2" s="1"/>
  <c r="G25" i="2" s="1"/>
  <c r="H25" i="2" s="1"/>
  <c r="G26" i="2" l="1"/>
  <c r="H26" i="2" s="1"/>
  <c r="G28" i="2" s="1"/>
  <c r="C2" i="4"/>
  <c r="G7" i="4" s="1"/>
  <c r="H7" i="4" s="1"/>
  <c r="G8" i="4" s="1"/>
  <c r="H8" i="4" s="1"/>
  <c r="G9" i="4" s="1"/>
  <c r="H9" i="4" s="1"/>
  <c r="G10" i="4" s="1"/>
  <c r="H10" i="4" s="1"/>
  <c r="G11" i="4" s="1"/>
  <c r="H11" i="4" s="1"/>
  <c r="G12" i="4" s="1"/>
  <c r="H12" i="4" s="1"/>
  <c r="G13" i="4" s="1"/>
  <c r="H13" i="4" s="1"/>
  <c r="G14" i="4" s="1"/>
  <c r="H14" i="4" s="1"/>
  <c r="G15" i="4" s="1"/>
  <c r="H15" i="4" s="1"/>
  <c r="G16" i="4" s="1"/>
  <c r="H16" i="4" s="1"/>
  <c r="G17" i="4" s="1"/>
  <c r="H17" i="4" s="1"/>
  <c r="G18" i="4" s="1"/>
  <c r="H18" i="4" s="1"/>
  <c r="G19" i="4" s="1"/>
  <c r="H19" i="4" s="1"/>
  <c r="G20" i="4" s="1"/>
  <c r="H20" i="4" s="1"/>
  <c r="G21" i="4" s="1"/>
  <c r="H21" i="4" s="1"/>
  <c r="G22" i="4" s="1"/>
  <c r="H22" i="4" s="1"/>
  <c r="G23" i="4" s="1"/>
  <c r="H23" i="4" s="1"/>
  <c r="G24" i="4" s="1"/>
  <c r="H24" i="4" s="1"/>
  <c r="G25" i="4" s="1"/>
  <c r="H25" i="4" s="1"/>
  <c r="G26" i="4" s="1"/>
  <c r="H26" i="4" s="1"/>
  <c r="G27" i="4" s="1"/>
  <c r="H27" i="4" s="1"/>
  <c r="H28" i="2" l="1"/>
  <c r="G29" i="2" s="1"/>
  <c r="H29" i="2" s="1"/>
  <c r="G30" i="2" s="1"/>
  <c r="H30" i="2" s="1"/>
  <c r="G31" i="2" s="1"/>
  <c r="H31" i="2" s="1"/>
  <c r="G32" i="2" s="1"/>
  <c r="H32" i="2" s="1"/>
  <c r="G33" i="2" s="1"/>
  <c r="H33" i="2" s="1"/>
  <c r="G34" i="2" s="1"/>
  <c r="H34" i="2" s="1"/>
  <c r="C3" i="4"/>
</calcChain>
</file>

<file path=xl/sharedStrings.xml><?xml version="1.0" encoding="utf-8"?>
<sst xmlns="http://schemas.openxmlformats.org/spreadsheetml/2006/main" count="361" uniqueCount="254">
  <si>
    <t>MASTER PLAN</t>
  </si>
  <si>
    <t>Số hóa quy trình vận hành Trung tâm Bảo hành – Bảo dưỡng ABC</t>
  </si>
  <si>
    <t>Trạng thái</t>
  </si>
  <si>
    <t>Sprint</t>
  </si>
  <si>
    <t>Sprint 5</t>
  </si>
  <si>
    <t>Sprint 6</t>
  </si>
  <si>
    <t>Sprint 7</t>
  </si>
  <si>
    <t>GĐ1</t>
  </si>
  <si>
    <t>GĐ2</t>
  </si>
  <si>
    <t>GĐ3</t>
  </si>
  <si>
    <t>GĐ4</t>
  </si>
  <si>
    <t>GĐ5</t>
  </si>
  <si>
    <t>GĐ6</t>
  </si>
  <si>
    <t>GĐ7</t>
  </si>
  <si>
    <t>GĐ8</t>
  </si>
  <si>
    <t>GĐ9</t>
  </si>
  <si>
    <t>GĐ10</t>
  </si>
  <si>
    <t>GĐ11</t>
  </si>
  <si>
    <t>Khởi tạo dự án (Project Initiation)</t>
  </si>
  <si>
    <t>Khảo sát &amp; Phân tích yêu cầu (Discovery &amp; Requirement Analysis)</t>
  </si>
  <si>
    <t>Thiết kế (UI/UX, Kiến trúc hệ thống, CSDL)</t>
  </si>
  <si>
    <t>Xác nhận tài liệu (Confirm &amp; Sign-off)</t>
  </si>
  <si>
    <t>Kickoff dự án phát triển</t>
  </si>
  <si>
    <t>Phát triển (Development – 10 Sprint theo Agile/Scrum)</t>
  </si>
  <si>
    <t>Chuyển giao kỹ thuật (Transfer sang team Dev/QA)</t>
  </si>
  <si>
    <t>Kiểm thử (QA/SIT &amp; UAT)</t>
  </si>
  <si>
    <t>Bàn giao &amp; Nghiệm thu (Handover &amp; Acceptance)</t>
  </si>
  <si>
    <t>Bảo hành &amp; Hỗ trợ vận hành (Warranty &amp; Support)</t>
  </si>
  <si>
    <t>Bắt đầu</t>
  </si>
  <si>
    <t>Kết thúc</t>
  </si>
  <si>
    <t>Ghi chú</t>
  </si>
  <si>
    <t>Giai đoạn</t>
  </si>
  <si>
    <t>Mục tiêu</t>
  </si>
  <si>
    <t>Thống nhất mục tiêu, phạm vi, tổ chức dự án</t>
  </si>
  <si>
    <t>Hiểu rõ quy trình vận hành thực tế của Trung tâm ABC</t>
  </si>
  <si>
    <t>Chuyển yêu cầu nghiệp vụ thành thiết kế kỹ thuật &amp; trải nghiệm</t>
  </si>
  <si>
    <t>Chuẩn hoá toàn bộ yêu cầu &amp; thiết kế thành tài liệu chính thức</t>
  </si>
  <si>
    <t>Đảm bảo hai bên thống nhất phạm vi trước khi triển khai</t>
  </si>
  <si>
    <t>Khởi động chính thức giai đoạn phát triển</t>
  </si>
  <si>
    <t>Chuyển giao đầy đủ đầu vào cho đội phát triển</t>
  </si>
  <si>
    <t>Xây dựng sản phẩm theo mô hình Agile/Scrum</t>
  </si>
  <si>
    <t>Đảm bảo chất lượng trước khi bàn giao</t>
  </si>
  <si>
    <t>Chính thức bàn giao sản phẩm cho khách hàng</t>
  </si>
  <si>
    <t>Đảm bảo hệ thống vận hành ổn định sau go-live</t>
  </si>
  <si>
    <t>Các giai đoạn</t>
  </si>
  <si>
    <t>Hoàn thành</t>
  </si>
  <si>
    <t>Ngày lập:</t>
  </si>
  <si>
    <t xml:space="preserve">App Mobile cho khách hàng đặt lịch &amp; theo dõi tiến độ  </t>
  </si>
  <si>
    <t>Web quản lý hệ thống trung tâm</t>
  </si>
  <si>
    <t>App Mobile khách hàng đặt lịch &amp; theo dõi tiến độ  •  Web quản lý hệ thống trung tâm</t>
  </si>
  <si>
    <t>Out put</t>
  </si>
  <si>
    <t>Người phụ trách</t>
  </si>
  <si>
    <t>Ngày bắt đầu</t>
  </si>
  <si>
    <t>Ngày kết thúc</t>
  </si>
  <si>
    <t>Số ngày</t>
  </si>
  <si>
    <t>Hoạt động chính</t>
  </si>
  <si>
    <t xml:space="preserve">Ký hợp đồng/điều khoản hợp tác </t>
  </si>
  <si>
    <t xml:space="preserve">Thành lập ban dự án (PM, BA, KTS, Dev lead) </t>
  </si>
  <si>
    <t xml:space="preserve">Xác định ngân sách, mốc thời gian tổng thể </t>
  </si>
  <si>
    <t>Bản điều lệ dự án (Project Charter)</t>
  </si>
  <si>
    <t xml:space="preserve">Khảo sát quy trình tiếp nhận, điều phối thợ, quản lý kho hiện tại </t>
  </si>
  <si>
    <t xml:space="preserve">Phỏng vấn các bên liên quan (quản lý, lễ tân, thợ, thủ kho) </t>
  </si>
  <si>
    <t xml:space="preserve">Phân tích nghiệp vụ, xác định actor &amp; use case </t>
  </si>
  <si>
    <t>Thiết kế (Design)</t>
  </si>
  <si>
    <t xml:space="preserve">Thiết kế UI/UX (wireframe, prototype) App &amp; Web </t>
  </si>
  <si>
    <t xml:space="preserve">Thiết kế kiến trúc hệ thống (Architecture) </t>
  </si>
  <si>
    <t xml:space="preserve">Thiết kế CSDL (ERD), thiết kế API </t>
  </si>
  <si>
    <t>UI/UX Design, System Design Document, ERD</t>
  </si>
  <si>
    <t>Lập tài liệu (Documentation)</t>
  </si>
  <si>
    <t xml:space="preserve">Soạn thảo BRD/SRS (đặc tả yêu cầu) </t>
  </si>
  <si>
    <t xml:space="preserve">Soạn Technical Design Document (TDD) </t>
  </si>
  <si>
    <t xml:space="preserve">Soạn API Specification </t>
  </si>
  <si>
    <t>Bộ tài liệu BRD/SRS, TDD, API Spec</t>
  </si>
  <si>
    <t xml:space="preserve">Trình bày &amp; review tài liệu với khách hàng </t>
  </si>
  <si>
    <t xml:space="preserve">Tổng hợp góp ý, chỉnh sửa </t>
  </si>
  <si>
    <t xml:space="preserve">Ký biên bản xác nhận (Sign-off) </t>
  </si>
  <si>
    <t>Tài liệu đã duyệt + Biên bản xác nhận</t>
  </si>
  <si>
    <t xml:space="preserve">Họp Kickoff với đầy đủ các bên </t>
  </si>
  <si>
    <t xml:space="preserve">Công bố kế hoạch, vai trò, kênh liên lạc </t>
  </si>
  <si>
    <t xml:space="preserve">Thống nhất công cụ quản lý (Jira/Trello, Git, Slack...) </t>
  </si>
  <si>
    <t>Biên bản Kickoff, Project Plan chi tiết</t>
  </si>
  <si>
    <t>Chuyển giao kỹ thuật (Transfer)</t>
  </si>
  <si>
    <t xml:space="preserve">Bàn giao tài liệu, thiết kế cho team Dev/QA </t>
  </si>
  <si>
    <t xml:space="preserve">Setup môi trường (Dev/Staging), tài khoản, repo </t>
  </si>
  <si>
    <t xml:space="preserve">Thống nhất Definition of Done, coding convention </t>
  </si>
  <si>
    <t>Môi trường sẵn sàng, Backlog khởi tạo</t>
  </si>
  <si>
    <t xml:space="preserve">Sprint Planning, Daily Standup, Review, Retro theo từng Sprint </t>
  </si>
  <si>
    <t>Tăng trưởng sản phẩm (Increment) sau mỗi Sprint</t>
  </si>
  <si>
    <t>Kiểm thử (Testing/UAT)</t>
  </si>
  <si>
    <t>QA kiểm thử chức năng, hiệu năng, bảo mật xuyên suốt các Sprint</t>
  </si>
  <si>
    <t xml:space="preserve">Kiểm thử tích hợp toàn hệ thống (SIT) </t>
  </si>
  <si>
    <t xml:space="preserve">Khách hàng thực hiện UAT (User Acceptance Test) </t>
  </si>
  <si>
    <t>Test Report, UAT Report</t>
  </si>
  <si>
    <t xml:space="preserve">Bàn giao mã nguồn, tài liệu hướng dẫn sử dụng/vận hành </t>
  </si>
  <si>
    <t xml:space="preserve">Đào tạo người dùng (Admin, Thủ kho, Điều phối, Thợ) </t>
  </si>
  <si>
    <t xml:space="preserve">Ký Biên bản nghiệm thu &amp; bàn giao </t>
  </si>
  <si>
    <t>Sản phẩm go-live, Biên bản nghiệm thu</t>
  </si>
  <si>
    <t xml:space="preserve">Hỗ trợ khắc phục lỗi phát sinh (Warranty support) </t>
  </si>
  <si>
    <t xml:space="preserve">Theo dõi hiệu năng, tối ưu hệ thống </t>
  </si>
  <si>
    <t>SLA hỗ trợ, Báo cáo vận hành định kỳ</t>
  </si>
  <si>
    <t>Sponsor, PM</t>
  </si>
  <si>
    <t>PM</t>
  </si>
  <si>
    <t>PM, Sponsor</t>
  </si>
  <si>
    <t>BA</t>
  </si>
  <si>
    <t>KTS</t>
  </si>
  <si>
    <t>PM, BA</t>
  </si>
  <si>
    <t>Khách hàng, PM</t>
  </si>
  <si>
    <t>BA, KTS</t>
  </si>
  <si>
    <t>Dev</t>
  </si>
  <si>
    <t>Dev, QA</t>
  </si>
  <si>
    <t>PM, Dev</t>
  </si>
  <si>
    <t>QA</t>
  </si>
  <si>
    <t>Khách hàng</t>
  </si>
  <si>
    <t>Dev, PM</t>
  </si>
  <si>
    <t>BA, Dev</t>
  </si>
  <si>
    <t>Biên bản khảo sát, Use Case list, Function list, Flowchart</t>
  </si>
  <si>
    <r>
      <rPr>
        <sz val="7"/>
        <color theme="1"/>
        <rFont val="Times New Roman"/>
        <family val="1"/>
      </rPr>
      <t xml:space="preserve"> </t>
    </r>
    <r>
      <rPr>
        <sz val="10.5"/>
        <color rgb="FF222222"/>
        <rFont val="Times New Roman"/>
        <family val="1"/>
      </rPr>
      <t>Lập tài liệu (BRD/SRS, Technical Design, API Spec)</t>
    </r>
  </si>
  <si>
    <t>Version :</t>
  </si>
  <si>
    <t>14/07/2026</t>
  </si>
  <si>
    <t>Mô hỉnh triển khai</t>
  </si>
  <si>
    <t>Date</t>
  </si>
  <si>
    <t>Waterfall kết hợp Aigle Scrum giai đoạn phát triển</t>
  </si>
  <si>
    <t xml:space="preserve">Chia 10 Sprint (2 tuần/Sprint), phát triển song song App &amp; Web </t>
  </si>
  <si>
    <t>Chưa bắt đầu</t>
  </si>
  <si>
    <t>Sprint plan (Aigle scrum) - Giai đoạn phát triển (GD8)</t>
  </si>
  <si>
    <t>Mã GD</t>
  </si>
  <si>
    <t>GD1</t>
  </si>
  <si>
    <t>GD2</t>
  </si>
  <si>
    <t>GD3</t>
  </si>
  <si>
    <t>GD4</t>
  </si>
  <si>
    <t>GD5</t>
  </si>
  <si>
    <t>GD6</t>
  </si>
  <si>
    <t>GD7</t>
  </si>
  <si>
    <t>GD8</t>
  </si>
  <si>
    <t>GD9</t>
  </si>
  <si>
    <t>GD10</t>
  </si>
  <si>
    <t>GD11</t>
  </si>
  <si>
    <t xml:space="preserve">Sprint 0 </t>
  </si>
  <si>
    <t>Web hệ thống</t>
  </si>
  <si>
    <t>App mobile khách hàng</t>
  </si>
  <si>
    <t>Khởi tạo nền tảng kỹ thuật cho toàn dự án</t>
  </si>
  <si>
    <t xml:space="preserve">Khởi tạo project skeleton </t>
  </si>
  <si>
    <t>Thiết lập Design System (UI kit)</t>
  </si>
  <si>
    <t xml:space="preserve">Khởi tạo project skeleton (BE/FE) </t>
  </si>
  <si>
    <t>Setup CSDL, CI/CD, môi trường Dev/Staging</t>
  </si>
  <si>
    <t>Sprint 1</t>
  </si>
  <si>
    <t>Xác thực &amp; Quản lý người dùng</t>
  </si>
  <si>
    <t xml:space="preserve">Đăng ký/Đăng nhập (OTP/SMS) </t>
  </si>
  <si>
    <t>Quản lý hồ sơ KH &amp; thiết bị điện tử/điện lạnh</t>
  </si>
  <si>
    <t xml:space="preserve">Đăng nhập, phân quyền (Admin/Điều phối/Thủ kho/Thợ) </t>
  </si>
  <si>
    <t>Quản lý người dùng nội bộ</t>
  </si>
  <si>
    <t>Sprint 2</t>
  </si>
  <si>
    <t>Đặt lịch bảo hành/bảo dưỡng</t>
  </si>
  <si>
    <t xml:space="preserve">Tạo yêu cầu đặt lịch (loại DV, thiết bị, khung giờ, địa chỉ) </t>
  </si>
  <si>
    <t>Upload hình ảnh/mô tả lỗi</t>
  </si>
  <si>
    <t xml:space="preserve">Cấu hình loại dịch vụ, khung giờ, khu vực phục vụ </t>
  </si>
  <si>
    <t>Danh sách đơn đặt lịch mới</t>
  </si>
  <si>
    <t>Sprint 3</t>
  </si>
  <si>
    <t>Tiếp nhận đơn &amp; Điều phối thợ</t>
  </si>
  <si>
    <t xml:space="preserve">Nhận thông báo xác nhận đơn </t>
  </si>
  <si>
    <t>Xem thông tin thợ phụ trách</t>
  </si>
  <si>
    <t xml:space="preserve">Tiếp nhận, xác nhận, phân loại đơn (BH/bảo dưỡng có phí) </t>
  </si>
  <si>
    <t>Điều phối thợ theo khu vực/lịch rảnh</t>
  </si>
  <si>
    <t>Sprint 4</t>
  </si>
  <si>
    <t>Theo dõi tiến độ &amp; Thông báo</t>
  </si>
  <si>
    <t xml:space="preserve">Theo dõi trạng thái đơn theo timeline </t>
  </si>
  <si>
    <t>Nhận Push notification/SMS</t>
  </si>
  <si>
    <t xml:space="preserve">Cập nhật trạng thái xử lý đơn (theo thợ) </t>
  </si>
  <si>
    <t>Notification Service (push/SMS/email)</t>
  </si>
  <si>
    <t>Quản lý kho linh kiện</t>
  </si>
  <si>
    <t xml:space="preserve">Danh mục linh kiện, quản lý tồn kho </t>
  </si>
  <si>
    <t xml:space="preserve">Phiếu nhập/xuất kho, quản lý NCC </t>
  </si>
  <si>
    <t>Cấp phát linh kiện cho thợ</t>
  </si>
  <si>
    <t xml:space="preserve">Duyệt &amp; cấp phát linh kiện cho thợ theo đơn </t>
  </si>
  <si>
    <t>Đối soát linh kiện đã sử dụng/công nợ</t>
  </si>
  <si>
    <t>Đánh giá dịch vụ, Lịch sử &amp; Thanh toán</t>
  </si>
  <si>
    <t>Đánh giá/rating sau hoàn thành</t>
  </si>
  <si>
    <t>Lịch sử bảo hành/bảo dưỡng, xem hoá đơn</t>
  </si>
  <si>
    <t xml:space="preserve">Xác nhận hoàn thành đơn, xuất hoá đơn </t>
  </si>
  <si>
    <t>Quản lý thanh toán (tiền mặt/chuyển khoản/online)</t>
  </si>
  <si>
    <t>Sprint 8</t>
  </si>
  <si>
    <t>Báo cáo, Thống kê &amp; Hoàn thiện</t>
  </si>
  <si>
    <t>Tối ưu UX, sửa lỗi tồn đọng</t>
  </si>
  <si>
    <t>Dashboard báo cáo (đơn, hiệu suất thợ, tồn kho, doanh thu)</t>
  </si>
  <si>
    <t>Tối ưu hiệu năng hệ thống</t>
  </si>
  <si>
    <t xml:space="preserve">Sprint 9 </t>
  </si>
  <si>
    <t>Regression test &amp; chuẩn bị UAT</t>
  </si>
  <si>
    <t xml:space="preserve">Kiểm thử hồi quy, sửa lỗi </t>
  </si>
  <si>
    <t>Chuẩn bị bản build UAT</t>
  </si>
  <si>
    <t>Chuẩn bị dữ liệu demo UAT</t>
  </si>
  <si>
    <t>Kiểm thử hồi quy, sửa lỗi</t>
  </si>
  <si>
    <t>DEV Team</t>
  </si>
  <si>
    <t>UI/UX Designer, DEV Team</t>
  </si>
  <si>
    <t>BA, DEV Team</t>
  </si>
  <si>
    <t>DEV Team, PM</t>
  </si>
  <si>
    <t>Tester</t>
  </si>
  <si>
    <t>Tester, PM, Sponsor</t>
  </si>
  <si>
    <t>Cảnh báo tồn kho tối thiểu</t>
  </si>
  <si>
    <t>Tiến độ (%)</t>
  </si>
  <si>
    <t>KẾ HOẠCH KIỂM THỬ &amp; NGHIỆM THU</t>
  </si>
  <si>
    <t>STT</t>
  </si>
  <si>
    <t>Hạng mục bàn giao</t>
  </si>
  <si>
    <t>Mô tả chi tiết</t>
  </si>
  <si>
    <t>Người nghiệm thu</t>
  </si>
  <si>
    <t>Unit Test &amp; Integration Test theo module</t>
  </si>
  <si>
    <t>Kiểm thử đơn vị (Unit Test) và kiểm thử tích hợp (Integration Test) cho từng module trong quá trình phát triển, đảm bảo logic nghiệp vụ và kết nối giữa các thành phần hoạt động đúng trước khi tích hợp toàn hệ thống.</t>
  </si>
  <si>
    <t>Lập trình viên (Dev) / Nhóm phát triển</t>
  </si>
  <si>
    <t>Tech Lead / QA Lead</t>
  </si>
  <si>
    <t>Thực hiện liên tục trong từng sprint</t>
  </si>
  <si>
    <t>Test đồng bộ trạng thái đơn hàng App - Web</t>
  </si>
  <si>
    <t>Kiểm thử end-to-end nhằm xác nhận trạng thái đơn hàng được cập nhật và đồng bộ chính xác, kịp thời giữa ứng dụng App và hệ thống Web quản lý.</t>
  </si>
  <si>
    <t>QA / Tester</t>
  </si>
  <si>
    <t>QA Lead / PM</t>
  </si>
  <si>
    <t>Bao gồm các kịch bản thay đổi trạng thái liên tục</t>
  </si>
  <si>
    <t>Test cơ chế cấp phát linh kiện khi nhiều thợ đồng thời</t>
  </si>
  <si>
    <t>Kiểm thử tình huống nhiều thợ kỹ thuật cùng yêu cầu cấp phát linh kiện tại cùng thời điểm (concurrency/race condition test), đảm bảo không xảy ra xung đột dữ liệu, cấp trùng hoặc vượt quá số lượng tồn kho thực tế.</t>
  </si>
  <si>
    <t>QA Lead / Thủ kho</t>
  </si>
  <si>
    <t>Ưu tiên kiểm thử tải (load) và độ đồng thời</t>
  </si>
  <si>
    <t>UAT (User Acceptance Test) với người dùng thực tế</t>
  </si>
  <si>
    <t>Tổ chức kiểm thử chấp nhận người dùng với các nhóm: Điều phối viên, Thủ kho, Thợ kỹ thuật và khách hàng mẫu, nhằm xác nhận hệ thống đáp ứng đúng nhu cầu nghiệp vụ thực tế.</t>
  </si>
  <si>
    <t>BA / PM (phối hợp Trung tâm ABC)</t>
  </si>
  <si>
    <t>Đại diện Trung tâm ABC</t>
  </si>
  <si>
    <t>Thực hiện theo kịch bản UAT đã được duyệt</t>
  </si>
  <si>
    <t>Tiêu chí &amp; Sign-off nghiệm thu theo RTM</t>
  </si>
  <si>
    <t>Xác nhận nghiệm thu (sign-off) cho từng module dựa trên Ma trận truy vết yêu cầu (RTM - Requirement Traceability Matrix), đảm bảo mọi yêu cầu trong SRS đã được kiểm thử và đạt kết quả.</t>
  </si>
  <si>
    <t>QA Lead</t>
  </si>
  <si>
    <t>PM / Đại diện Trung tâm ABC</t>
  </si>
  <si>
    <t>Căn cứ để lập Biên bản nghiệm thu</t>
  </si>
  <si>
    <t>Dự án: Số hóa quy trình vận hành Trung tâm Bảo hành – Bảo dưỡng ABC</t>
  </si>
  <si>
    <t>TIÊU CHÍ NGHIỆM THU &amp; BÀN GIAO TỔNG THỂ</t>
  </si>
  <si>
    <t>Điều kiện để chính thức bước vào giai đoạn Bảo hành</t>
  </si>
  <si>
    <t>Tiêu chí nghiệm thu</t>
  </si>
  <si>
    <t>Mô tả / Yêu cầu chi tiết</t>
  </si>
  <si>
    <t>Hoàn thành 100% chức năng trong phạm vi (Scope)</t>
  </si>
  <si>
    <t>100% chức năng trong phạm vi đã được duyệt tại GĐ4 hoạt động đúng theo tài liệu SRS.</t>
  </si>
  <si>
    <t>Không còn lỗi Critical/High</t>
  </si>
  <si>
    <t>Không còn lỗi mức độ Critical/High chưa được xử lý tại thời điểm nghiệm thu.</t>
  </si>
  <si>
    <t>Khách hàng thực hiện UAT và ký biên bản</t>
  </si>
  <si>
    <t>Đại diện Trung tâm ABC thực hiện UAT và ký Biên bản chấp nhận kết quả kiểm thử.</t>
  </si>
  <si>
    <t>Bàn giao đầy đủ tài liệu &amp; mã nguồn</t>
  </si>
  <si>
    <t>Bàn giao đầy đủ: mã nguồn (source code), tài liệu kỹ thuật (TDD, API Spec), tài liệu hướng dẫn sử dụng / vận hành hệ thống.</t>
  </si>
  <si>
    <t>Hoàn thành đào tạo người dùng</t>
  </si>
  <si>
    <t>Hoàn thành đào tạo cho các nhóm người dùng: Quản trị viên, Điều phối viên, Thủ kho, Thợ kỹ thuật.</t>
  </si>
  <si>
    <t>Ký Biên bản nghiệm thu &amp; bàn giao</t>
  </si>
  <si>
    <t>Ký Biên bản nghiệm thu &amp; bàn giao (Acceptance &amp; Handover Report), chính thức bước vào giai đoạn Bảo hành.</t>
  </si>
  <si>
    <t>Chưa hoàn thành</t>
  </si>
  <si>
    <t>Nguyễn Thị Ngọc Mai</t>
  </si>
  <si>
    <t xml:space="preserve">Nguyễn Văn Đức </t>
  </si>
  <si>
    <t>Master plan số hóa quy trình Trung tâm Bảo hành – Bảo dưỡng ABC</t>
  </si>
  <si>
    <t>1/8/2026 - 17/05/2027</t>
  </si>
  <si>
    <r>
      <t xml:space="preserve">Xác nhận tài liệu </t>
    </r>
    <r>
      <rPr>
        <sz val="10.5"/>
        <rFont val="Times New Roman"/>
        <family val="1"/>
      </rPr>
      <t>(Confirm &amp; Sign-off)</t>
    </r>
  </si>
  <si>
    <r>
      <t xml:space="preserve">Phát triển (Development </t>
    </r>
    <r>
      <rPr>
        <sz val="10.5"/>
        <rFont val="Times New Roman"/>
        <family val="1"/>
      </rPr>
      <t>– 10 Sprint theo Agile/Scrum</t>
    </r>
    <r>
      <rPr>
        <sz val="9.5"/>
        <rFont val="Times New Roman"/>
        <family val="1"/>
      </rPr>
      <t>)</t>
    </r>
  </si>
  <si>
    <r>
      <t xml:space="preserve">Bàn giao &amp; Nghiệm thu </t>
    </r>
    <r>
      <rPr>
        <sz val="10.5"/>
        <rFont val="Times New Roman"/>
        <family val="1"/>
      </rPr>
      <t>(Handover &amp; Acceptance)</t>
    </r>
  </si>
  <si>
    <r>
      <t xml:space="preserve">Bảo hành &amp; Hỗ trợ vận hành </t>
    </r>
    <r>
      <rPr>
        <sz val="10.5"/>
        <rFont val="Times New Roman"/>
        <family val="1"/>
      </rPr>
      <t>(Warranty &amp; Support)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</si>
</sst>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0_);_(* \(#,##0.0\);_(* &quot;-&quot;??_);_(@_)"/>
    <numFmt numFmtId="165" formatCode="dd/mm/yyyy"/>
  </numFmts>
  <fonts count="29" x14ac:knownFonts="1">
    <font>
      <sz val="11"/>
      <color theme="1"/>
      <name val="Aptos Narrow"/>
      <family val="2"/>
      <scheme val="minor"/>
    </font>
    <font>
      <sz val="11"/>
      <color theme="1"/>
      <name val="Aptos Narrow"/>
      <family val="2"/>
      <scheme val="minor"/>
    </font>
    <font>
      <b/>
      <sz val="28"/>
      <color rgb="FF1F3864"/>
      <name val="Times New Roman"/>
      <family val="1"/>
    </font>
    <font>
      <b/>
      <sz val="16"/>
      <color rgb="FF2E74B5"/>
      <name val="Times New Roman"/>
      <family val="1"/>
    </font>
    <font>
      <sz val="8"/>
      <name val="Aptos Narrow"/>
      <family val="2"/>
      <scheme val="minor"/>
    </font>
    <font>
      <sz val="7"/>
      <color theme="1"/>
      <name val="Times New Roman"/>
      <family val="1"/>
    </font>
    <font>
      <sz val="9.5"/>
      <color rgb="FF222222"/>
      <name val="Times New Roman"/>
      <family val="1"/>
    </font>
    <font>
      <sz val="10.5"/>
      <color rgb="FF222222"/>
      <name val="Times New Roman"/>
      <family val="1"/>
    </font>
    <font>
      <i/>
      <sz val="12"/>
      <color rgb="FF2E74B5"/>
      <name val="Times New Roman"/>
      <family val="1"/>
    </font>
    <font>
      <i/>
      <sz val="11"/>
      <color rgb="FF595959"/>
      <name val="Times New Roman"/>
      <family val="1"/>
    </font>
    <font>
      <sz val="11"/>
      <color theme="1"/>
      <name val="Times New Roman"/>
      <family val="1"/>
    </font>
    <font>
      <sz val="11"/>
      <color theme="1"/>
      <name val="Aptos Narrow"/>
      <family val="2"/>
      <charset val="1"/>
    </font>
    <font>
      <b/>
      <sz val="11"/>
      <color theme="1"/>
      <name val="Times New Roman"/>
      <family val="1"/>
    </font>
    <font>
      <sz val="10"/>
      <color theme="1"/>
      <name val="Times New Roman"/>
      <family val="1"/>
    </font>
    <font>
      <sz val="9.5"/>
      <color rgb="FF222222"/>
      <name val="Times New Roman"/>
      <family val="1"/>
      <charset val="1"/>
    </font>
    <font>
      <b/>
      <sz val="9.5"/>
      <color rgb="FF222222"/>
      <name val="Times New Roman"/>
      <family val="1"/>
    </font>
    <font>
      <sz val="11"/>
      <color theme="1"/>
      <name val="Calibri"/>
      <family val="2"/>
      <charset val="1"/>
    </font>
    <font>
      <sz val="10"/>
      <name val="Arial"/>
      <family val="2"/>
    </font>
    <font>
      <b/>
      <sz val="14"/>
      <color rgb="FF1F4E78"/>
      <name val="Arial"/>
      <family val="2"/>
    </font>
    <font>
      <i/>
      <sz val="10"/>
      <color rgb="FF595959"/>
      <name val="Arial"/>
      <family val="2"/>
    </font>
    <font>
      <b/>
      <sz val="11"/>
      <color rgb="FFFFFFFF"/>
      <name val="Arial"/>
      <family val="2"/>
    </font>
    <font>
      <b/>
      <sz val="16"/>
      <color theme="7" tint="-0.499984740745262"/>
      <name val="Times New Roman"/>
      <family val="1"/>
    </font>
    <font>
      <b/>
      <i/>
      <sz val="11"/>
      <color theme="7" tint="-0.499984740745262"/>
      <name val="Times New Roman"/>
      <family val="1"/>
    </font>
    <font>
      <b/>
      <i/>
      <sz val="12"/>
      <color theme="7" tint="-0.499984740745262"/>
      <name val="Times New Roman"/>
      <family val="1"/>
    </font>
    <font>
      <i/>
      <sz val="11"/>
      <color theme="7" tint="-0.499984740745262"/>
      <name val="Times New Roman"/>
      <family val="1"/>
    </font>
    <font>
      <b/>
      <sz val="14"/>
      <color rgb="FF2E74B5"/>
      <name val="Times New Roman"/>
      <family val="1"/>
    </font>
    <font>
      <sz val="11"/>
      <name val="Times New Roman"/>
      <family val="1"/>
    </font>
    <font>
      <sz val="9.5"/>
      <name val="Times New Roman"/>
      <family val="1"/>
    </font>
    <font>
      <sz val="10.5"/>
      <name val="Times New Roman"/>
      <family val="1"/>
    </font>
  </fonts>
  <fills count="6">
    <fill>
      <patternFill patternType="none"/>
    </fill>
    <fill>
      <patternFill patternType="gray125"/>
    </fill>
    <fill>
      <patternFill patternType="solid">
        <fgColor theme="3" tint="0.89999084444715716"/>
        <bgColor indexed="64"/>
      </patternFill>
    </fill>
    <fill>
      <patternFill patternType="solid">
        <fgColor theme="3" tint="0.749992370372631"/>
        <bgColor indexed="64"/>
      </patternFill>
    </fill>
    <fill>
      <patternFill patternType="solid">
        <fgColor rgb="FF1F4E78"/>
        <bgColor rgb="FF003366"/>
      </patternFill>
    </fill>
    <fill>
      <patternFill patternType="solid">
        <fgColor theme="0"/>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theme="7" tint="-0.249977111117893"/>
      </left>
      <right style="thin">
        <color theme="0"/>
      </right>
      <top style="thin">
        <color theme="7" tint="-0.249977111117893"/>
      </top>
      <bottom style="thin">
        <color theme="0"/>
      </bottom>
      <diagonal/>
    </border>
    <border>
      <left style="thin">
        <color theme="0"/>
      </left>
      <right style="thin">
        <color theme="0"/>
      </right>
      <top style="thin">
        <color theme="7" tint="-0.249977111117893"/>
      </top>
      <bottom style="thin">
        <color theme="0"/>
      </bottom>
      <diagonal/>
    </border>
    <border>
      <left style="thin">
        <color theme="0"/>
      </left>
      <right style="thin">
        <color theme="7" tint="-0.249977111117893"/>
      </right>
      <top style="thin">
        <color theme="7" tint="-0.249977111117893"/>
      </top>
      <bottom style="thin">
        <color theme="0"/>
      </bottom>
      <diagonal/>
    </border>
    <border>
      <left style="thin">
        <color theme="7" tint="-0.249977111117893"/>
      </left>
      <right style="thin">
        <color theme="0"/>
      </right>
      <top style="thin">
        <color theme="0"/>
      </top>
      <bottom style="thin">
        <color theme="0"/>
      </bottom>
      <diagonal/>
    </border>
    <border>
      <left style="thin">
        <color theme="0"/>
      </left>
      <right style="thin">
        <color theme="7" tint="-0.249977111117893"/>
      </right>
      <top style="thin">
        <color theme="0"/>
      </top>
      <bottom style="thin">
        <color theme="0"/>
      </bottom>
      <diagonal/>
    </border>
    <border>
      <left style="thin">
        <color theme="7" tint="-0.249977111117893"/>
      </left>
      <right style="thin">
        <color theme="0"/>
      </right>
      <top style="thin">
        <color theme="0"/>
      </top>
      <bottom style="thin">
        <color theme="7" tint="-0.249977111117893"/>
      </bottom>
      <diagonal/>
    </border>
    <border>
      <left style="thin">
        <color theme="0"/>
      </left>
      <right style="thin">
        <color theme="0"/>
      </right>
      <top style="thin">
        <color theme="0"/>
      </top>
      <bottom style="thin">
        <color theme="7" tint="-0.249977111117893"/>
      </bottom>
      <diagonal/>
    </border>
    <border>
      <left style="thin">
        <color theme="0"/>
      </left>
      <right style="thin">
        <color theme="7" tint="-0.249977111117893"/>
      </right>
      <top style="thin">
        <color theme="0"/>
      </top>
      <bottom style="thin">
        <color theme="7" tint="-0.249977111117893"/>
      </bottom>
      <diagonal/>
    </border>
  </borders>
  <cellStyleXfs count="4">
    <xf numFmtId="0" fontId="0" fillId="0" borderId="0"/>
    <xf numFmtId="43" fontId="1" fillId="0" borderId="0" applyFont="0" applyFill="0" applyBorder="0" applyAlignment="0" applyProtection="0"/>
    <xf numFmtId="0" fontId="11" fillId="0" borderId="0"/>
    <xf numFmtId="0" fontId="16" fillId="0" borderId="0"/>
  </cellStyleXfs>
  <cellXfs count="134">
    <xf numFmtId="0" fontId="0" fillId="0" borderId="0" xfId="0"/>
    <xf numFmtId="0" fontId="8" fillId="0" borderId="0" xfId="0" applyFont="1"/>
    <xf numFmtId="164" fontId="8" fillId="0" borderId="0" xfId="1" applyNumberFormat="1" applyFont="1" applyAlignment="1">
      <alignment horizontal="right"/>
    </xf>
    <xf numFmtId="0" fontId="9" fillId="0" borderId="0" xfId="0" applyFont="1"/>
    <xf numFmtId="0" fontId="10" fillId="0" borderId="0" xfId="0" applyFont="1"/>
    <xf numFmtId="0" fontId="10" fillId="0" borderId="0" xfId="0" applyFont="1" applyAlignment="1">
      <alignment wrapText="1"/>
    </xf>
    <xf numFmtId="10" fontId="10" fillId="0" borderId="0" xfId="0" applyNumberFormat="1" applyFont="1" applyAlignment="1">
      <alignment horizontal="center"/>
    </xf>
    <xf numFmtId="0" fontId="0" fillId="0" borderId="0" xfId="0" applyAlignment="1">
      <alignment horizontal="left"/>
    </xf>
    <xf numFmtId="0" fontId="3" fillId="0" borderId="0" xfId="0" applyFont="1" applyAlignment="1">
      <alignment vertical="center"/>
    </xf>
    <xf numFmtId="0" fontId="25" fillId="0" borderId="0" xfId="0" applyFont="1" applyAlignment="1">
      <alignment vertical="center"/>
    </xf>
    <xf numFmtId="0" fontId="27" fillId="0" borderId="1" xfId="0" applyFont="1" applyBorder="1"/>
    <xf numFmtId="0" fontId="27" fillId="0" borderId="1" xfId="2" applyFont="1" applyBorder="1"/>
    <xf numFmtId="165" fontId="26" fillId="0" borderId="1" xfId="0" applyNumberFormat="1" applyFont="1" applyBorder="1"/>
    <xf numFmtId="0" fontId="26" fillId="0" borderId="1" xfId="0" applyFont="1" applyBorder="1" applyAlignment="1">
      <alignment horizontal="center"/>
    </xf>
    <xf numFmtId="10" fontId="26" fillId="0" borderId="1" xfId="0" applyNumberFormat="1" applyFont="1" applyBorder="1" applyAlignment="1">
      <alignment horizontal="center"/>
    </xf>
    <xf numFmtId="0" fontId="27" fillId="0" borderId="1" xfId="0" applyFont="1" applyBorder="1" applyAlignment="1">
      <alignment vertical="center"/>
    </xf>
    <xf numFmtId="0" fontId="27" fillId="0" borderId="1" xfId="2" applyFont="1" applyBorder="1" applyAlignment="1">
      <alignment vertical="center"/>
    </xf>
    <xf numFmtId="0" fontId="27" fillId="0" borderId="1" xfId="0" applyFont="1" applyBorder="1" applyAlignment="1">
      <alignment horizontal="left" vertical="center"/>
    </xf>
    <xf numFmtId="0" fontId="27" fillId="0" borderId="1" xfId="2" applyFont="1" applyBorder="1" applyAlignment="1">
      <alignment horizontal="left" vertical="center"/>
    </xf>
    <xf numFmtId="0" fontId="26" fillId="0" borderId="1" xfId="0" applyFont="1" applyBorder="1" applyAlignment="1">
      <alignment horizontal="center" wrapText="1"/>
    </xf>
    <xf numFmtId="10" fontId="26" fillId="0" borderId="1" xfId="0" applyNumberFormat="1" applyFont="1" applyBorder="1" applyAlignment="1">
      <alignment horizontal="center" wrapText="1"/>
    </xf>
    <xf numFmtId="0" fontId="27" fillId="0" borderId="1" xfId="0" applyFont="1" applyBorder="1" applyAlignment="1">
      <alignment vertical="center" wrapText="1"/>
    </xf>
    <xf numFmtId="0" fontId="27" fillId="0" borderId="1" xfId="2" applyFont="1" applyBorder="1" applyAlignment="1">
      <alignment vertical="center" wrapText="1"/>
    </xf>
    <xf numFmtId="0" fontId="27" fillId="0" borderId="1" xfId="0" applyFont="1" applyBorder="1" applyAlignment="1">
      <alignment wrapText="1"/>
    </xf>
    <xf numFmtId="0" fontId="27" fillId="0" borderId="1" xfId="2" applyFont="1" applyBorder="1" applyAlignment="1">
      <alignment wrapText="1"/>
    </xf>
    <xf numFmtId="9" fontId="10" fillId="0" borderId="1" xfId="0" applyNumberFormat="1" applyFont="1" applyBorder="1">
      <extLst>
        <ext xmlns:xfpb="http://schemas.microsoft.com/office/spreadsheetml/2022/featurepropertybag" uri="{C7286773-470A-42A8-94C5-96B5CB345126}">
          <xfpb:xfComplement i="0"/>
        </ext>
      </extLst>
    </xf>
    <xf numFmtId="165" fontId="10" fillId="0" borderId="1" xfId="0" applyNumberFormat="1" applyFont="1" applyBorder="1"/>
    <xf numFmtId="0" fontId="10" fillId="0" borderId="1" xfId="0" applyFont="1" applyBorder="1"/>
    <xf numFmtId="9" fontId="10" fillId="0" borderId="1" xfId="0" applyNumberFormat="1" applyFont="1" applyBorder="1"/>
    <xf numFmtId="0" fontId="6" fillId="0" borderId="1" xfId="0" applyFont="1" applyBorder="1"/>
    <xf numFmtId="0" fontId="14" fillId="0" borderId="1" xfId="2" applyFont="1" applyBorder="1"/>
    <xf numFmtId="0" fontId="10" fillId="0" borderId="1" xfId="0" applyFont="1" applyBorder="1" applyAlignment="1">
      <alignment horizontal="center"/>
    </xf>
    <xf numFmtId="10" fontId="10" fillId="0" borderId="1" xfId="0" applyNumberFormat="1" applyFont="1" applyBorder="1" applyAlignment="1">
      <alignment horizontal="center"/>
    </xf>
    <xf numFmtId="10" fontId="10" fillId="0" borderId="1" xfId="0" applyNumberFormat="1" applyFont="1" applyBorder="1" applyAlignment="1">
      <alignment horizontal="center" wrapText="1"/>
    </xf>
    <xf numFmtId="165" fontId="24" fillId="0" borderId="0" xfId="0" applyNumberFormat="1" applyFont="1" applyAlignment="1">
      <alignment horizontal="left"/>
    </xf>
    <xf numFmtId="0" fontId="17" fillId="0" borderId="1" xfId="3" applyFont="1" applyBorder="1" applyAlignment="1">
      <alignment horizontal="left" vertical="center" wrapText="1"/>
    </xf>
    <xf numFmtId="0" fontId="12" fillId="2" borderId="2" xfId="0" applyFont="1" applyFill="1" applyBorder="1"/>
    <xf numFmtId="0" fontId="12" fillId="2" borderId="3" xfId="0" applyFont="1" applyFill="1" applyBorder="1"/>
    <xf numFmtId="0" fontId="12" fillId="2" borderId="4" xfId="0" applyFont="1" applyFill="1" applyBorder="1"/>
    <xf numFmtId="0" fontId="12" fillId="2" borderId="5" xfId="0" applyFont="1" applyFill="1" applyBorder="1"/>
    <xf numFmtId="0" fontId="10" fillId="0" borderId="6" xfId="0" applyFont="1" applyBorder="1"/>
    <xf numFmtId="0" fontId="12" fillId="2" borderId="7" xfId="0" applyFont="1" applyFill="1" applyBorder="1"/>
    <xf numFmtId="9" fontId="10" fillId="0" borderId="8" xfId="0" applyNumberFormat="1" applyFont="1" applyBorder="1"/>
    <xf numFmtId="165" fontId="10" fillId="0" borderId="8" xfId="0" applyNumberFormat="1" applyFont="1" applyBorder="1"/>
    <xf numFmtId="0" fontId="10" fillId="0" borderId="8" xfId="0" applyFont="1" applyBorder="1"/>
    <xf numFmtId="0" fontId="10" fillId="0" borderId="9" xfId="0" applyFont="1" applyBorder="1"/>
    <xf numFmtId="0" fontId="12" fillId="3" borderId="2" xfId="0" applyFont="1" applyFill="1" applyBorder="1"/>
    <xf numFmtId="0" fontId="12" fillId="3" borderId="3" xfId="0" applyFont="1" applyFill="1" applyBorder="1"/>
    <xf numFmtId="0" fontId="12" fillId="3" borderId="3" xfId="0" applyFont="1" applyFill="1" applyBorder="1" applyAlignment="1">
      <alignment horizontal="left"/>
    </xf>
    <xf numFmtId="0" fontId="12" fillId="3" borderId="4" xfId="0" applyFont="1" applyFill="1" applyBorder="1"/>
    <xf numFmtId="0" fontId="26" fillId="0" borderId="6" xfId="0" applyFont="1" applyBorder="1"/>
    <xf numFmtId="0" fontId="26" fillId="0" borderId="6" xfId="0" applyFont="1" applyBorder="1" applyAlignment="1">
      <alignment wrapText="1"/>
    </xf>
    <xf numFmtId="0" fontId="27" fillId="0" borderId="8" xfId="0" applyFont="1" applyBorder="1"/>
    <xf numFmtId="0" fontId="27" fillId="0" borderId="8" xfId="2" applyFont="1" applyBorder="1"/>
    <xf numFmtId="0" fontId="12" fillId="3" borderId="2" xfId="0" applyFont="1" applyFill="1" applyBorder="1" applyAlignment="1">
      <alignment horizontal="center"/>
    </xf>
    <xf numFmtId="0" fontId="10" fillId="0" borderId="6" xfId="0" applyFont="1" applyBorder="1" applyAlignment="1">
      <alignment wrapText="1"/>
    </xf>
    <xf numFmtId="0" fontId="6" fillId="0" borderId="8" xfId="0" applyFont="1" applyBorder="1"/>
    <xf numFmtId="0" fontId="14" fillId="0" borderId="8" xfId="2" applyFont="1" applyBorder="1"/>
    <xf numFmtId="0" fontId="10" fillId="0" borderId="8" xfId="0" applyFont="1" applyBorder="1" applyAlignment="1">
      <alignment horizontal="center"/>
    </xf>
    <xf numFmtId="10" fontId="10" fillId="0" borderId="8" xfId="0" applyNumberFormat="1" applyFont="1" applyBorder="1" applyAlignment="1">
      <alignment horizontal="center"/>
    </xf>
    <xf numFmtId="0" fontId="20" fillId="4" borderId="2" xfId="3" applyFont="1" applyFill="1" applyBorder="1" applyAlignment="1">
      <alignment horizontal="center" vertical="center" wrapText="1"/>
    </xf>
    <xf numFmtId="0" fontId="20" fillId="4" borderId="3" xfId="3" applyFont="1" applyFill="1" applyBorder="1" applyAlignment="1">
      <alignment horizontal="center" vertical="center" wrapText="1"/>
    </xf>
    <xf numFmtId="0" fontId="20" fillId="4" borderId="4" xfId="3" applyFont="1" applyFill="1" applyBorder="1" applyAlignment="1">
      <alignment horizontal="center" vertical="center" wrapText="1"/>
    </xf>
    <xf numFmtId="0" fontId="17" fillId="0" borderId="5" xfId="3" applyFont="1" applyBorder="1" applyAlignment="1">
      <alignment horizontal="center" vertical="center" wrapText="1"/>
    </xf>
    <xf numFmtId="0" fontId="17" fillId="0" borderId="6" xfId="3" applyFont="1" applyBorder="1" applyAlignment="1">
      <alignment horizontal="center" vertical="center" wrapText="1"/>
    </xf>
    <xf numFmtId="0" fontId="17" fillId="0" borderId="7" xfId="3" applyFont="1" applyBorder="1" applyAlignment="1">
      <alignment horizontal="center" vertical="center" wrapText="1"/>
    </xf>
    <xf numFmtId="0" fontId="17" fillId="0" borderId="8" xfId="3" applyFont="1" applyBorder="1" applyAlignment="1">
      <alignment horizontal="left" vertical="center" wrapText="1"/>
    </xf>
    <xf numFmtId="0" fontId="17" fillId="0" borderId="9" xfId="3" applyFont="1" applyBorder="1" applyAlignment="1">
      <alignment horizontal="center" vertical="center" wrapText="1"/>
    </xf>
    <xf numFmtId="0" fontId="20" fillId="4" borderId="2" xfId="3" applyFont="1" applyFill="1" applyBorder="1" applyAlignment="1">
      <alignment horizontal="left" vertical="center" wrapText="1"/>
    </xf>
    <xf numFmtId="0" fontId="20" fillId="4" borderId="3" xfId="3" applyFont="1" applyFill="1" applyBorder="1" applyAlignment="1">
      <alignment horizontal="left" vertical="center" wrapText="1"/>
    </xf>
    <xf numFmtId="0" fontId="20" fillId="4" borderId="4" xfId="3" applyFont="1" applyFill="1" applyBorder="1" applyAlignment="1">
      <alignment horizontal="left" vertical="center" wrapText="1"/>
    </xf>
    <xf numFmtId="0" fontId="17" fillId="0" borderId="5" xfId="3" applyFont="1" applyBorder="1" applyAlignment="1">
      <alignment horizontal="left" vertical="center" wrapText="1"/>
    </xf>
    <xf numFmtId="0" fontId="17" fillId="0" borderId="6" xfId="3" applyFont="1" applyBorder="1" applyAlignment="1">
      <alignment horizontal="left" vertical="center" wrapText="1"/>
    </xf>
    <xf numFmtId="0" fontId="17" fillId="0" borderId="7" xfId="3" applyFont="1" applyBorder="1" applyAlignment="1">
      <alignment horizontal="left" vertical="center" wrapText="1"/>
    </xf>
    <xf numFmtId="0" fontId="17" fillId="0" borderId="8" xfId="3" applyFont="1" applyBorder="1" applyAlignment="1">
      <alignment vertical="center" wrapText="1"/>
    </xf>
    <xf numFmtId="0" fontId="17" fillId="0" borderId="9" xfId="3" applyFont="1" applyBorder="1" applyAlignment="1">
      <alignment horizontal="left" vertical="center" wrapText="1"/>
    </xf>
    <xf numFmtId="0" fontId="22" fillId="0" borderId="1" xfId="0" applyFont="1" applyBorder="1" applyAlignment="1">
      <alignment horizontal="left"/>
    </xf>
    <xf numFmtId="0" fontId="22" fillId="0" borderId="6" xfId="0" applyFont="1" applyBorder="1" applyAlignment="1">
      <alignment horizontal="left"/>
    </xf>
    <xf numFmtId="0" fontId="24" fillId="0" borderId="1" xfId="0" applyFont="1" applyBorder="1" applyAlignment="1">
      <alignment horizontal="left"/>
    </xf>
    <xf numFmtId="0" fontId="24" fillId="0" borderId="6" xfId="0" applyFont="1" applyBorder="1" applyAlignment="1">
      <alignment horizontal="left"/>
    </xf>
    <xf numFmtId="14" fontId="22" fillId="0" borderId="8" xfId="0" applyNumberFormat="1" applyFont="1" applyBorder="1" applyAlignment="1">
      <alignment horizontal="left"/>
    </xf>
    <xf numFmtId="14" fontId="22" fillId="0" borderId="9" xfId="0" applyNumberFormat="1" applyFont="1" applyBorder="1" applyAlignment="1">
      <alignment horizontal="left"/>
    </xf>
    <xf numFmtId="0" fontId="23" fillId="0" borderId="5" xfId="0" applyFont="1" applyBorder="1" applyAlignment="1">
      <alignment horizontal="left"/>
    </xf>
    <xf numFmtId="0" fontId="23" fillId="0" borderId="1" xfId="0" applyFont="1" applyBorder="1" applyAlignment="1">
      <alignment horizontal="left"/>
    </xf>
    <xf numFmtId="0" fontId="23" fillId="2" borderId="2" xfId="0" applyFont="1" applyFill="1" applyBorder="1" applyAlignment="1">
      <alignment horizontal="left" vertical="center"/>
    </xf>
    <xf numFmtId="0" fontId="23" fillId="2" borderId="3" xfId="0" applyFont="1" applyFill="1" applyBorder="1" applyAlignment="1">
      <alignment horizontal="left" vertical="center"/>
    </xf>
    <xf numFmtId="0" fontId="23" fillId="2" borderId="5" xfId="0" applyFont="1" applyFill="1" applyBorder="1" applyAlignment="1">
      <alignment horizontal="left" vertical="center"/>
    </xf>
    <xf numFmtId="0" fontId="23" fillId="2" borderId="1" xfId="0" applyFont="1" applyFill="1" applyBorder="1" applyAlignment="1">
      <alignment horizontal="left" vertical="center"/>
    </xf>
    <xf numFmtId="0" fontId="23" fillId="0" borderId="5" xfId="0" applyFont="1" applyBorder="1" applyAlignment="1">
      <alignment horizontal="left" vertical="center"/>
    </xf>
    <xf numFmtId="0" fontId="23" fillId="0" borderId="1" xfId="0" applyFont="1" applyBorder="1" applyAlignment="1">
      <alignment horizontal="left" vertical="center"/>
    </xf>
    <xf numFmtId="0" fontId="23" fillId="0" borderId="7" xfId="0" applyFont="1" applyBorder="1" applyAlignment="1">
      <alignment horizontal="left"/>
    </xf>
    <xf numFmtId="0" fontId="23" fillId="0" borderId="8" xfId="0" applyFont="1" applyBorder="1" applyAlignment="1">
      <alignment horizontal="left"/>
    </xf>
    <xf numFmtId="0" fontId="2" fillId="0" borderId="0" xfId="0" applyFont="1" applyAlignment="1">
      <alignment horizontal="center" vertical="center"/>
    </xf>
    <xf numFmtId="0" fontId="3" fillId="0" borderId="0" xfId="0" applyFont="1" applyAlignment="1">
      <alignment horizontal="center" vertical="center"/>
    </xf>
    <xf numFmtId="0" fontId="22" fillId="0" borderId="3" xfId="0" applyFont="1" applyBorder="1" applyAlignment="1">
      <alignment horizontal="left" vertical="center"/>
    </xf>
    <xf numFmtId="0" fontId="22" fillId="0" borderId="4" xfId="0" applyFont="1" applyBorder="1" applyAlignment="1">
      <alignment horizontal="left" vertical="center"/>
    </xf>
    <xf numFmtId="0" fontId="7" fillId="0" borderId="8" xfId="0" applyFont="1" applyBorder="1" applyAlignment="1">
      <alignment horizontal="left"/>
    </xf>
    <xf numFmtId="0" fontId="12" fillId="2" borderId="3" xfId="0" applyFont="1" applyFill="1" applyBorder="1" applyAlignment="1">
      <alignment horizontal="center"/>
    </xf>
    <xf numFmtId="0" fontId="7" fillId="0" borderId="1" xfId="0" applyFont="1" applyBorder="1" applyAlignment="1">
      <alignment horizontal="left"/>
    </xf>
    <xf numFmtId="0" fontId="7" fillId="0" borderId="1" xfId="0" applyFont="1" applyBorder="1" applyAlignment="1">
      <alignment horizontal="left" vertical="center"/>
    </xf>
    <xf numFmtId="0" fontId="13" fillId="0" borderId="1" xfId="0" applyFont="1" applyBorder="1" applyAlignment="1">
      <alignment horizontal="left" vertical="center"/>
    </xf>
    <xf numFmtId="0" fontId="26" fillId="0" borderId="6" xfId="0" applyFont="1" applyBorder="1" applyAlignment="1">
      <alignment vertical="center"/>
    </xf>
    <xf numFmtId="0" fontId="26" fillId="0" borderId="9" xfId="0" applyFont="1" applyBorder="1" applyAlignment="1">
      <alignment vertical="center"/>
    </xf>
    <xf numFmtId="10" fontId="26" fillId="0" borderId="1" xfId="0" applyNumberFormat="1" applyFont="1" applyBorder="1" applyAlignment="1">
      <alignment horizontal="center" vertical="center"/>
    </xf>
    <xf numFmtId="10" fontId="26" fillId="0" borderId="8" xfId="0" applyNumberFormat="1" applyFont="1" applyBorder="1" applyAlignment="1">
      <alignment horizontal="center" vertical="center"/>
    </xf>
    <xf numFmtId="10" fontId="26" fillId="0" borderId="1" xfId="0" applyNumberFormat="1" applyFont="1" applyBorder="1" applyAlignment="1">
      <alignment horizontal="center" vertical="center" wrapText="1"/>
    </xf>
    <xf numFmtId="165" fontId="26" fillId="0" borderId="1" xfId="0" applyNumberFormat="1" applyFont="1" applyBorder="1" applyAlignment="1">
      <alignment horizontal="right" vertical="center"/>
    </xf>
    <xf numFmtId="0" fontId="26" fillId="0" borderId="1" xfId="0" applyFont="1" applyBorder="1" applyAlignment="1">
      <alignment horizontal="center" vertical="center" wrapText="1"/>
    </xf>
    <xf numFmtId="165" fontId="26" fillId="0" borderId="8" xfId="0" applyNumberFormat="1" applyFont="1" applyBorder="1" applyAlignment="1">
      <alignment horizontal="right" vertical="center"/>
    </xf>
    <xf numFmtId="0" fontId="26" fillId="0" borderId="1" xfId="0" applyFont="1" applyBorder="1" applyAlignment="1">
      <alignment horizontal="center" vertical="center"/>
    </xf>
    <xf numFmtId="0" fontId="26" fillId="0" borderId="8" xfId="0" applyFont="1" applyBorder="1" applyAlignment="1">
      <alignment horizontal="center" vertical="center"/>
    </xf>
    <xf numFmtId="0" fontId="27" fillId="0" borderId="1" xfId="0" applyFont="1" applyBorder="1" applyAlignment="1">
      <alignment horizontal="left" vertical="center" wrapText="1"/>
    </xf>
    <xf numFmtId="0" fontId="27" fillId="0" borderId="8" xfId="0" applyFont="1" applyBorder="1" applyAlignment="1">
      <alignment horizontal="left" vertical="center" wrapText="1"/>
    </xf>
    <xf numFmtId="0" fontId="12" fillId="3" borderId="5" xfId="0" applyFont="1" applyFill="1" applyBorder="1" applyAlignment="1">
      <alignment horizontal="center" vertical="center" wrapText="1"/>
    </xf>
    <xf numFmtId="0" fontId="12" fillId="3" borderId="5" xfId="0" applyFont="1" applyFill="1" applyBorder="1" applyAlignment="1">
      <alignment horizontal="center" vertical="center"/>
    </xf>
    <xf numFmtId="0" fontId="12" fillId="3" borderId="7" xfId="0" applyFont="1" applyFill="1" applyBorder="1" applyAlignment="1">
      <alignment horizontal="center" vertical="center"/>
    </xf>
    <xf numFmtId="0" fontId="27" fillId="0" borderId="1" xfId="0" applyFont="1" applyBorder="1" applyAlignment="1">
      <alignment horizontal="left" vertical="center"/>
    </xf>
    <xf numFmtId="0" fontId="26" fillId="0" borderId="1" xfId="0" applyFont="1" applyBorder="1" applyAlignment="1">
      <alignment horizontal="left" vertical="center" wrapText="1"/>
    </xf>
    <xf numFmtId="0" fontId="21" fillId="0" borderId="0" xfId="0" applyFont="1" applyAlignment="1">
      <alignment horizontal="left"/>
    </xf>
    <xf numFmtId="0" fontId="15" fillId="3" borderId="5" xfId="0" applyFont="1" applyFill="1" applyBorder="1" applyAlignment="1">
      <alignment horizontal="center" vertical="center"/>
    </xf>
    <xf numFmtId="0" fontId="6" fillId="5" borderId="1" xfId="0" applyFont="1" applyFill="1" applyBorder="1" applyAlignment="1">
      <alignment horizontal="left" vertical="center" wrapText="1"/>
    </xf>
    <xf numFmtId="0" fontId="6" fillId="2" borderId="1" xfId="0" applyFont="1" applyFill="1" applyBorder="1" applyAlignment="1">
      <alignment horizontal="left" vertical="center" wrapText="1"/>
    </xf>
    <xf numFmtId="0" fontId="15" fillId="3" borderId="7" xfId="0" applyFont="1" applyFill="1" applyBorder="1" applyAlignment="1">
      <alignment horizontal="center" vertical="center"/>
    </xf>
    <xf numFmtId="0" fontId="6" fillId="0" borderId="1" xfId="0" applyFont="1" applyBorder="1" applyAlignment="1">
      <alignment horizontal="left" vertical="center" wrapText="1"/>
    </xf>
    <xf numFmtId="0" fontId="6" fillId="0" borderId="8" xfId="0" applyFont="1" applyBorder="1" applyAlignment="1">
      <alignment horizontal="left" vertical="center" wrapText="1"/>
    </xf>
    <xf numFmtId="0" fontId="6" fillId="0" borderId="1" xfId="0" applyFont="1" applyBorder="1" applyAlignment="1">
      <alignment horizontal="left" vertical="center"/>
    </xf>
    <xf numFmtId="0" fontId="10" fillId="0" borderId="1" xfId="0" applyFont="1" applyBorder="1" applyAlignment="1">
      <alignment horizontal="center"/>
    </xf>
    <xf numFmtId="0" fontId="22" fillId="0" borderId="0" xfId="0" applyFont="1" applyAlignment="1">
      <alignment horizontal="center"/>
    </xf>
    <xf numFmtId="10" fontId="10" fillId="0" borderId="0" xfId="0" applyNumberFormat="1" applyFont="1" applyAlignment="1">
      <alignment horizontal="center" vertical="center" wrapText="1"/>
    </xf>
    <xf numFmtId="0" fontId="10" fillId="0" borderId="0" xfId="0" applyFont="1" applyAlignment="1">
      <alignment vertical="center"/>
    </xf>
    <xf numFmtId="10" fontId="10" fillId="0" borderId="0" xfId="0" applyNumberFormat="1" applyFont="1" applyAlignment="1">
      <alignment horizontal="center" vertical="center"/>
    </xf>
    <xf numFmtId="0" fontId="18" fillId="0" borderId="0" xfId="3" applyFont="1" applyAlignment="1">
      <alignment horizontal="center" vertical="center"/>
    </xf>
    <xf numFmtId="0" fontId="19" fillId="0" borderId="0" xfId="3" applyFont="1" applyAlignment="1">
      <alignment horizontal="center"/>
    </xf>
    <xf numFmtId="0" fontId="18" fillId="0" borderId="0" xfId="3" applyFont="1" applyAlignment="1">
      <alignment horizontal="center"/>
    </xf>
  </cellXfs>
  <cellStyles count="4">
    <cellStyle name="Comma" xfId="1" builtinId="3"/>
    <cellStyle name="Normal" xfId="0" builtinId="0"/>
    <cellStyle name="Normal 2" xfId="2" xr:uid="{13B0C9DF-B90C-4CBF-ADCB-CC7F7206CFCA}"/>
    <cellStyle name="Normal 3" xfId="3" xr:uid="{DB76B918-6EE7-4385-ADF1-2AD0FDF7BD86}"/>
  </cellStyles>
  <dxfs count="26">
    <dxf>
      <fill>
        <patternFill>
          <bgColor theme="3" tint="0.89996032593768116"/>
        </patternFill>
      </fill>
    </dxf>
    <dxf>
      <fill>
        <patternFill>
          <bgColor theme="3" tint="0.89996032593768116"/>
        </patternFill>
      </fill>
    </dxf>
    <dxf>
      <fill>
        <patternFill>
          <bgColor theme="3" tint="0.89996032593768116"/>
        </patternFill>
      </fill>
    </dxf>
    <dxf>
      <fill>
        <patternFill>
          <bgColor theme="9" tint="0.39994506668294322"/>
        </patternFill>
      </fill>
    </dxf>
    <dxf>
      <fill>
        <patternFill>
          <bgColor rgb="FFFFFF00"/>
        </patternFill>
      </fill>
    </dxf>
    <dxf>
      <fill>
        <patternFill>
          <bgColor rgb="FFFF0000"/>
        </patternFill>
      </fill>
    </dxf>
    <dxf>
      <fill>
        <patternFill>
          <bgColor theme="3" tint="0.89996032593768116"/>
        </patternFill>
      </fill>
    </dxf>
    <dxf>
      <fill>
        <patternFill>
          <bgColor theme="3" tint="0.89996032593768116"/>
        </patternFill>
      </fill>
    </dxf>
    <dxf>
      <fill>
        <patternFill>
          <bgColor theme="9" tint="0.39994506668294322"/>
        </patternFill>
      </fill>
    </dxf>
    <dxf>
      <fill>
        <patternFill>
          <bgColor rgb="FFFFFF00"/>
        </patternFill>
      </fill>
    </dxf>
    <dxf>
      <fill>
        <patternFill>
          <bgColor rgb="FFFF0000"/>
        </patternFill>
      </fill>
    </dxf>
    <dxf>
      <fill>
        <patternFill>
          <bgColor theme="3" tint="0.89996032593768116"/>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FFFF00"/>
        </patternFill>
      </fill>
    </dxf>
    <dxf>
      <fill>
        <patternFill>
          <bgColor rgb="FF00B050"/>
        </patternFill>
      </fill>
    </dxf>
    <dxf>
      <fill>
        <patternFill>
          <bgColor rgb="FFFFFF00"/>
        </patternFill>
      </fill>
    </dxf>
    <dxf>
      <fill>
        <patternFill>
          <bgColor rgb="FFFF0000"/>
        </patternFill>
      </fill>
    </dxf>
    <dxf>
      <fill>
        <patternFill>
          <bgColor rgb="FF92D050"/>
        </patternFill>
      </fill>
    </dxf>
    <dxf>
      <fill>
        <patternFill>
          <bgColor theme="3" tint="0.89996032593768116"/>
        </patternFill>
      </fill>
    </dxf>
    <dxf>
      <fill>
        <patternFill>
          <bgColor theme="3" tint="0.89996032593768116"/>
        </patternFill>
      </fill>
    </dxf>
  </dxfs>
  <tableStyles count="0" defaultTableStyle="TableStyleMedium2" defaultPivotStyle="PivotStyleLight16"/>
  <colors>
    <mruColors>
      <color rgb="FFFF7C80"/>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D138E-5BD6-4F73-8CA4-EA71451D1F63}">
  <sheetPr>
    <tabColor theme="4" tint="-0.499984740745262"/>
  </sheetPr>
  <dimension ref="A1:M23"/>
  <sheetViews>
    <sheetView zoomScaleNormal="100" workbookViewId="0">
      <selection activeCell="A2" sqref="A2:M2"/>
    </sheetView>
  </sheetViews>
  <sheetFormatPr defaultRowHeight="15" x14ac:dyDescent="0.25"/>
  <cols>
    <col min="1" max="1" width="8.42578125" style="4" customWidth="1"/>
    <col min="2" max="3" width="10.85546875" style="4" customWidth="1"/>
    <col min="4" max="4" width="10" style="4" customWidth="1"/>
    <col min="5" max="7" width="9.140625" style="4"/>
    <col min="8" max="8" width="11.5703125" style="4" customWidth="1"/>
    <col min="9" max="9" width="16.5703125" style="4" customWidth="1"/>
    <col min="10" max="10" width="15.7109375" style="4" customWidth="1"/>
    <col min="11" max="11" width="9.7109375" style="4" customWidth="1"/>
    <col min="12" max="12" width="11.140625" style="4" customWidth="1"/>
    <col min="13" max="13" width="16.85546875" style="4" customWidth="1"/>
    <col min="14" max="16384" width="9.140625" style="4"/>
  </cols>
  <sheetData>
    <row r="1" spans="1:13" ht="34.5" x14ac:dyDescent="0.25">
      <c r="A1" s="92" t="s">
        <v>0</v>
      </c>
      <c r="B1" s="92"/>
      <c r="C1" s="92"/>
      <c r="D1" s="92"/>
      <c r="E1" s="92"/>
      <c r="F1" s="92"/>
      <c r="G1" s="92"/>
      <c r="H1" s="92"/>
      <c r="I1" s="92"/>
      <c r="J1" s="92"/>
      <c r="K1" s="92"/>
      <c r="L1" s="92"/>
      <c r="M1" s="92"/>
    </row>
    <row r="2" spans="1:13" ht="20.25" x14ac:dyDescent="0.25">
      <c r="A2" s="93" t="s">
        <v>1</v>
      </c>
      <c r="B2" s="93"/>
      <c r="C2" s="93"/>
      <c r="D2" s="93"/>
      <c r="E2" s="93"/>
      <c r="F2" s="93"/>
      <c r="G2" s="93"/>
      <c r="H2" s="93"/>
      <c r="I2" s="93"/>
      <c r="J2" s="93"/>
      <c r="K2" s="93"/>
      <c r="L2" s="93"/>
      <c r="M2" s="93"/>
    </row>
    <row r="3" spans="1:13" ht="15.75" x14ac:dyDescent="0.25">
      <c r="E3" s="1" t="s">
        <v>117</v>
      </c>
      <c r="F3" s="2">
        <v>1</v>
      </c>
      <c r="J3" s="1" t="s">
        <v>46</v>
      </c>
      <c r="K3" s="1" t="s">
        <v>118</v>
      </c>
    </row>
    <row r="5" spans="1:13" ht="20.25" customHeight="1" x14ac:dyDescent="0.25">
      <c r="A5" s="84" t="s">
        <v>32</v>
      </c>
      <c r="B5" s="85"/>
      <c r="C5" s="94" t="s">
        <v>47</v>
      </c>
      <c r="D5" s="94"/>
      <c r="E5" s="94"/>
      <c r="F5" s="94"/>
      <c r="G5" s="94"/>
      <c r="H5" s="95"/>
    </row>
    <row r="6" spans="1:13" ht="20.25" customHeight="1" x14ac:dyDescent="0.25">
      <c r="A6" s="86"/>
      <c r="B6" s="87"/>
      <c r="C6" s="76" t="s">
        <v>48</v>
      </c>
      <c r="D6" s="76"/>
      <c r="E6" s="76"/>
      <c r="F6" s="76"/>
      <c r="G6" s="76"/>
      <c r="H6" s="77"/>
    </row>
    <row r="7" spans="1:13" ht="20.25" customHeight="1" x14ac:dyDescent="0.25">
      <c r="A7" s="82" t="s">
        <v>119</v>
      </c>
      <c r="B7" s="83"/>
      <c r="C7" s="76" t="s">
        <v>121</v>
      </c>
      <c r="D7" s="76"/>
      <c r="E7" s="76"/>
      <c r="F7" s="76"/>
      <c r="G7" s="76"/>
      <c r="H7" s="77"/>
    </row>
    <row r="8" spans="1:13" ht="20.25" customHeight="1" x14ac:dyDescent="0.25">
      <c r="A8" s="88" t="s">
        <v>103</v>
      </c>
      <c r="B8" s="89"/>
      <c r="C8" s="76" t="s">
        <v>246</v>
      </c>
      <c r="D8" s="76"/>
      <c r="E8" s="76"/>
      <c r="F8" s="76"/>
      <c r="G8" s="76"/>
      <c r="H8" s="77"/>
    </row>
    <row r="9" spans="1:13" ht="15.75" x14ac:dyDescent="0.25">
      <c r="A9" s="82" t="s">
        <v>101</v>
      </c>
      <c r="B9" s="83"/>
      <c r="C9" s="76" t="s">
        <v>247</v>
      </c>
      <c r="D9" s="78"/>
      <c r="E9" s="78"/>
      <c r="F9" s="78"/>
      <c r="G9" s="78"/>
      <c r="H9" s="79"/>
    </row>
    <row r="10" spans="1:13" ht="15.75" x14ac:dyDescent="0.25">
      <c r="A10" s="90" t="s">
        <v>120</v>
      </c>
      <c r="B10" s="91"/>
      <c r="C10" s="80" t="s">
        <v>249</v>
      </c>
      <c r="D10" s="80"/>
      <c r="E10" s="80"/>
      <c r="F10" s="80"/>
      <c r="G10" s="80"/>
      <c r="H10" s="81"/>
    </row>
    <row r="12" spans="1:13" x14ac:dyDescent="0.25">
      <c r="A12" s="36"/>
      <c r="B12" s="97" t="s">
        <v>44</v>
      </c>
      <c r="C12" s="97"/>
      <c r="D12" s="97"/>
      <c r="E12" s="97"/>
      <c r="F12" s="97"/>
      <c r="G12" s="97"/>
      <c r="H12" s="37" t="s">
        <v>45</v>
      </c>
      <c r="I12" s="37" t="s">
        <v>28</v>
      </c>
      <c r="J12" s="37" t="s">
        <v>29</v>
      </c>
      <c r="K12" s="37" t="s">
        <v>54</v>
      </c>
      <c r="L12" s="37" t="s">
        <v>2</v>
      </c>
      <c r="M12" s="38" t="s">
        <v>30</v>
      </c>
    </row>
    <row r="13" spans="1:13" x14ac:dyDescent="0.25">
      <c r="A13" s="39" t="s">
        <v>7</v>
      </c>
      <c r="B13" s="98" t="s">
        <v>18</v>
      </c>
      <c r="C13" s="98"/>
      <c r="D13" s="98"/>
      <c r="E13" s="98"/>
      <c r="F13" s="98"/>
      <c r="G13" s="98"/>
      <c r="H13" s="25">
        <v>0</v>
      </c>
      <c r="I13" s="26">
        <f>DATE(2026,8,1)</f>
        <v>46235</v>
      </c>
      <c r="J13" s="26">
        <f>DATE(2026,8,4)</f>
        <v>46238</v>
      </c>
      <c r="K13" s="27">
        <f>J13-I13+1</f>
        <v>4</v>
      </c>
      <c r="L13" s="27" t="str">
        <f>IF(H13=100%,"Hoàn thành",IF(H13&gt;=50%,"Đang thực hiện","Chưa đạt"))</f>
        <v>Chưa đạt</v>
      </c>
      <c r="M13" s="40"/>
    </row>
    <row r="14" spans="1:13" x14ac:dyDescent="0.25">
      <c r="A14" s="39" t="s">
        <v>8</v>
      </c>
      <c r="B14" s="99" t="s">
        <v>19</v>
      </c>
      <c r="C14" s="99"/>
      <c r="D14" s="99"/>
      <c r="E14" s="99"/>
      <c r="F14" s="99"/>
      <c r="G14" s="99"/>
      <c r="H14" s="25">
        <v>0</v>
      </c>
      <c r="I14" s="26">
        <f>J13+1</f>
        <v>46239</v>
      </c>
      <c r="J14" s="26">
        <f>I14+K14-1</f>
        <v>46251</v>
      </c>
      <c r="K14" s="27">
        <v>13</v>
      </c>
      <c r="L14" s="27" t="str">
        <f t="shared" ref="L14:L23" si="0">IF(H14=100%,"Hoàn thành",IF(H14&gt;=50%,"Đang thực hiện","Chưa đạt"))</f>
        <v>Chưa đạt</v>
      </c>
      <c r="M14" s="40"/>
    </row>
    <row r="15" spans="1:13" x14ac:dyDescent="0.25">
      <c r="A15" s="39" t="s">
        <v>9</v>
      </c>
      <c r="B15" s="98" t="s">
        <v>20</v>
      </c>
      <c r="C15" s="98"/>
      <c r="D15" s="98"/>
      <c r="E15" s="98"/>
      <c r="F15" s="98"/>
      <c r="G15" s="98"/>
      <c r="H15" s="25">
        <v>0</v>
      </c>
      <c r="I15" s="26">
        <f t="shared" ref="I15:I23" si="1">J14+1</f>
        <v>46252</v>
      </c>
      <c r="J15" s="26">
        <f t="shared" ref="J15:J23" si="2">I15+K15-1</f>
        <v>46266</v>
      </c>
      <c r="K15" s="27">
        <v>15</v>
      </c>
      <c r="L15" s="27" t="str">
        <f t="shared" si="0"/>
        <v>Chưa đạt</v>
      </c>
      <c r="M15" s="40"/>
    </row>
    <row r="16" spans="1:13" x14ac:dyDescent="0.25">
      <c r="A16" s="39" t="s">
        <v>10</v>
      </c>
      <c r="B16" s="100" t="s">
        <v>116</v>
      </c>
      <c r="C16" s="100"/>
      <c r="D16" s="100"/>
      <c r="E16" s="100"/>
      <c r="F16" s="100"/>
      <c r="G16" s="100"/>
      <c r="H16" s="28">
        <v>0</v>
      </c>
      <c r="I16" s="26">
        <f t="shared" si="1"/>
        <v>46267</v>
      </c>
      <c r="J16" s="26">
        <f t="shared" si="2"/>
        <v>46274</v>
      </c>
      <c r="K16" s="27">
        <v>8</v>
      </c>
      <c r="L16" s="27" t="str">
        <f t="shared" si="0"/>
        <v>Chưa đạt</v>
      </c>
      <c r="M16" s="40"/>
    </row>
    <row r="17" spans="1:13" x14ac:dyDescent="0.25">
      <c r="A17" s="39" t="s">
        <v>11</v>
      </c>
      <c r="B17" s="98" t="s">
        <v>21</v>
      </c>
      <c r="C17" s="98"/>
      <c r="D17" s="98"/>
      <c r="E17" s="98"/>
      <c r="F17" s="98"/>
      <c r="G17" s="98"/>
      <c r="H17" s="28">
        <v>0</v>
      </c>
      <c r="I17" s="26">
        <f t="shared" si="1"/>
        <v>46275</v>
      </c>
      <c r="J17" s="26">
        <f t="shared" si="2"/>
        <v>46279</v>
      </c>
      <c r="K17" s="27">
        <v>5</v>
      </c>
      <c r="L17" s="27" t="str">
        <f t="shared" si="0"/>
        <v>Chưa đạt</v>
      </c>
      <c r="M17" s="40"/>
    </row>
    <row r="18" spans="1:13" x14ac:dyDescent="0.25">
      <c r="A18" s="39" t="s">
        <v>12</v>
      </c>
      <c r="B18" s="98" t="s">
        <v>22</v>
      </c>
      <c r="C18" s="98"/>
      <c r="D18" s="98"/>
      <c r="E18" s="98"/>
      <c r="F18" s="98"/>
      <c r="G18" s="98"/>
      <c r="H18" s="28">
        <v>0</v>
      </c>
      <c r="I18" s="26">
        <f t="shared" si="1"/>
        <v>46280</v>
      </c>
      <c r="J18" s="26">
        <f t="shared" si="2"/>
        <v>46281</v>
      </c>
      <c r="K18" s="27">
        <v>2</v>
      </c>
      <c r="L18" s="27" t="str">
        <f t="shared" si="0"/>
        <v>Chưa đạt</v>
      </c>
      <c r="M18" s="40"/>
    </row>
    <row r="19" spans="1:13" x14ac:dyDescent="0.25">
      <c r="A19" s="39" t="s">
        <v>13</v>
      </c>
      <c r="B19" s="98" t="s">
        <v>24</v>
      </c>
      <c r="C19" s="98"/>
      <c r="D19" s="98"/>
      <c r="E19" s="98"/>
      <c r="F19" s="98"/>
      <c r="G19" s="98"/>
      <c r="H19" s="28">
        <v>0</v>
      </c>
      <c r="I19" s="26">
        <f t="shared" si="1"/>
        <v>46282</v>
      </c>
      <c r="J19" s="26">
        <f t="shared" si="2"/>
        <v>46284</v>
      </c>
      <c r="K19" s="27">
        <v>3</v>
      </c>
      <c r="L19" s="27" t="str">
        <f t="shared" si="0"/>
        <v>Chưa đạt</v>
      </c>
      <c r="M19" s="40"/>
    </row>
    <row r="20" spans="1:13" x14ac:dyDescent="0.25">
      <c r="A20" s="39" t="s">
        <v>14</v>
      </c>
      <c r="B20" s="98" t="s">
        <v>23</v>
      </c>
      <c r="C20" s="98"/>
      <c r="D20" s="98"/>
      <c r="E20" s="98"/>
      <c r="F20" s="98"/>
      <c r="G20" s="98"/>
      <c r="H20" s="28">
        <v>0</v>
      </c>
      <c r="I20" s="26">
        <f t="shared" si="1"/>
        <v>46285</v>
      </c>
      <c r="J20" s="26">
        <f t="shared" si="2"/>
        <v>46410</v>
      </c>
      <c r="K20" s="27">
        <v>126</v>
      </c>
      <c r="L20" s="27" t="str">
        <f t="shared" si="0"/>
        <v>Chưa đạt</v>
      </c>
      <c r="M20" s="40"/>
    </row>
    <row r="21" spans="1:13" x14ac:dyDescent="0.25">
      <c r="A21" s="39" t="s">
        <v>15</v>
      </c>
      <c r="B21" s="98" t="s">
        <v>25</v>
      </c>
      <c r="C21" s="98"/>
      <c r="D21" s="98"/>
      <c r="E21" s="98"/>
      <c r="F21" s="98"/>
      <c r="G21" s="98"/>
      <c r="H21" s="28">
        <v>0</v>
      </c>
      <c r="I21" s="26">
        <f t="shared" si="1"/>
        <v>46411</v>
      </c>
      <c r="J21" s="26">
        <f t="shared" si="2"/>
        <v>46425</v>
      </c>
      <c r="K21" s="27">
        <v>15</v>
      </c>
      <c r="L21" s="27" t="str">
        <f t="shared" si="0"/>
        <v>Chưa đạt</v>
      </c>
      <c r="M21" s="40"/>
    </row>
    <row r="22" spans="1:13" x14ac:dyDescent="0.25">
      <c r="A22" s="39" t="s">
        <v>16</v>
      </c>
      <c r="B22" s="98" t="s">
        <v>26</v>
      </c>
      <c r="C22" s="98"/>
      <c r="D22" s="98"/>
      <c r="E22" s="98"/>
      <c r="F22" s="98"/>
      <c r="G22" s="98"/>
      <c r="H22" s="28">
        <v>0</v>
      </c>
      <c r="I22" s="26">
        <f t="shared" si="1"/>
        <v>46426</v>
      </c>
      <c r="J22" s="26">
        <f t="shared" si="2"/>
        <v>46434</v>
      </c>
      <c r="K22" s="27">
        <v>9</v>
      </c>
      <c r="L22" s="27" t="str">
        <f t="shared" si="0"/>
        <v>Chưa đạt</v>
      </c>
      <c r="M22" s="40"/>
    </row>
    <row r="23" spans="1:13" x14ac:dyDescent="0.25">
      <c r="A23" s="41" t="s">
        <v>17</v>
      </c>
      <c r="B23" s="96" t="s">
        <v>27</v>
      </c>
      <c r="C23" s="96"/>
      <c r="D23" s="96"/>
      <c r="E23" s="96"/>
      <c r="F23" s="96"/>
      <c r="G23" s="96"/>
      <c r="H23" s="42">
        <v>0</v>
      </c>
      <c r="I23" s="43">
        <f t="shared" si="1"/>
        <v>46435</v>
      </c>
      <c r="J23" s="43">
        <f t="shared" si="2"/>
        <v>46524</v>
      </c>
      <c r="K23" s="44">
        <v>90</v>
      </c>
      <c r="L23" s="44" t="str">
        <f t="shared" si="0"/>
        <v>Chưa đạt</v>
      </c>
      <c r="M23" s="45"/>
    </row>
  </sheetData>
  <mergeCells count="25">
    <mergeCell ref="B23:G23"/>
    <mergeCell ref="B12:G12"/>
    <mergeCell ref="B13:G13"/>
    <mergeCell ref="B14:G14"/>
    <mergeCell ref="B15:G15"/>
    <mergeCell ref="B16:G16"/>
    <mergeCell ref="B17:G17"/>
    <mergeCell ref="B18:G18"/>
    <mergeCell ref="B22:G22"/>
    <mergeCell ref="B21:G21"/>
    <mergeCell ref="B20:G20"/>
    <mergeCell ref="B19:G19"/>
    <mergeCell ref="A5:B6"/>
    <mergeCell ref="A8:B8"/>
    <mergeCell ref="A9:B9"/>
    <mergeCell ref="A10:B10"/>
    <mergeCell ref="A1:M1"/>
    <mergeCell ref="A2:M2"/>
    <mergeCell ref="C6:H6"/>
    <mergeCell ref="C5:H5"/>
    <mergeCell ref="C8:H8"/>
    <mergeCell ref="C9:H9"/>
    <mergeCell ref="C10:H10"/>
    <mergeCell ref="A7:B7"/>
    <mergeCell ref="C7:H7"/>
  </mergeCells>
  <phoneticPr fontId="4" type="noConversion"/>
  <conditionalFormatting sqref="A5:H10">
    <cfRule type="expression" dxfId="25" priority="7">
      <formula>MOD(ROW(),2)=0</formula>
    </cfRule>
  </conditionalFormatting>
  <conditionalFormatting sqref="A12:M23">
    <cfRule type="expression" dxfId="24" priority="8">
      <formula>MOD(ROW(),2)=0</formula>
    </cfRule>
  </conditionalFormatting>
  <conditionalFormatting sqref="H13:H23">
    <cfRule type="cellIs" dxfId="23" priority="4" operator="equal">
      <formula>1</formula>
    </cfRule>
    <cfRule type="cellIs" dxfId="22" priority="5" operator="lessThan">
      <formula>0.5</formula>
    </cfRule>
    <cfRule type="cellIs" dxfId="21" priority="6" operator="between">
      <formula>0.6</formula>
      <formula>0.99</formula>
    </cfRule>
    <cfRule type="cellIs" dxfId="20" priority="14" operator="equal">
      <formula>1</formula>
    </cfRule>
    <cfRule type="cellIs" dxfId="19" priority="15" operator="between">
      <formula>0.5</formula>
      <formula>0.9</formula>
    </cfRule>
    <cfRule type="cellIs" dxfId="18" priority="16" operator="lessThan">
      <formula>0.5</formula>
    </cfRule>
    <cfRule type="cellIs" priority="17" operator="greaterThan">
      <formula>1</formula>
    </cfRule>
  </conditionalFormatting>
  <conditionalFormatting sqref="L13:L23">
    <cfRule type="containsText" dxfId="17" priority="1" operator="containsText" text="Đang thực hiện">
      <formula>NOT(ISERROR(SEARCH("Đang thực hiện",L13)))</formula>
    </cfRule>
    <cfRule type="containsText" dxfId="16" priority="2" operator="containsText" text="Hoàn thành">
      <formula>NOT(ISERROR(SEARCH("Hoàn thành",L13)))</formula>
    </cfRule>
    <cfRule type="containsText" dxfId="15" priority="3" operator="containsText" text="Chưa đạt">
      <formula>NOT(ISERROR(SEARCH("Chưa đạt",L13)))</formula>
    </cfRule>
    <cfRule type="containsText" dxfId="14" priority="10" operator="containsText" text="Chưa đạt">
      <formula>NOT(ISERROR(SEARCH("Chưa đạt",L13)))</formula>
    </cfRule>
    <cfRule type="containsText" dxfId="13" priority="11" operator="containsText" text="Đang thực hiện">
      <formula>NOT(ISERROR(SEARCH("Đang thực hiện",L13)))</formula>
    </cfRule>
    <cfRule type="containsText" dxfId="12" priority="12" operator="containsText" text="Hoàn thành">
      <formula>NOT(ISERROR(SEARCH("Hoàn thành",L13)))</formula>
    </cfRule>
  </conditionalFormatting>
  <dataValidations count="1">
    <dataValidation type="list" allowBlank="1" showInputMessage="1" showErrorMessage="1" sqref="H13:H23" xr:uid="{FD0532B7-5C58-4702-A59F-90FE31258A7A}">
      <formula1>"0%,10%,20%,30%,40%,50%,60%,70%,80%,90%,100%"</formula1>
    </dataValidation>
  </dataValidations>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D0358-7415-437C-95D8-50194D6A0774}">
  <sheetPr>
    <tabColor theme="6" tint="0.39997558519241921"/>
  </sheetPr>
  <dimension ref="A1:K35"/>
  <sheetViews>
    <sheetView tabSelected="1" workbookViewId="0">
      <pane xSplit="3" ySplit="4" topLeftCell="F5" activePane="bottomRight" state="frozen"/>
      <selection pane="topRight" activeCell="D1" sqref="D1"/>
      <selection pane="bottomLeft" activeCell="A5" sqref="A5"/>
      <selection pane="bottomRight" activeCell="A2" sqref="A2"/>
    </sheetView>
  </sheetViews>
  <sheetFormatPr defaultRowHeight="15" x14ac:dyDescent="0.25"/>
  <cols>
    <col min="1" max="1" width="8.28515625" style="4" customWidth="1"/>
    <col min="2" max="2" width="26.5703125" style="4" customWidth="1"/>
    <col min="3" max="3" width="47.7109375" style="4" customWidth="1"/>
    <col min="4" max="4" width="26.5703125" style="4" customWidth="1"/>
    <col min="5" max="5" width="23.140625" style="4" customWidth="1"/>
    <col min="6" max="6" width="15.5703125" style="4" customWidth="1"/>
    <col min="7" max="7" width="13" style="4" customWidth="1"/>
    <col min="8" max="8" width="12.85546875" style="4" customWidth="1"/>
    <col min="9" max="9" width="7.85546875" style="4" customWidth="1"/>
    <col min="10" max="10" width="12.42578125" style="4" customWidth="1"/>
    <col min="11" max="11" width="14.42578125" style="4" customWidth="1"/>
    <col min="12" max="16384" width="9.140625" style="4"/>
  </cols>
  <sheetData>
    <row r="1" spans="1:11" ht="20.25" customHeight="1" x14ac:dyDescent="0.25">
      <c r="A1" s="9" t="s">
        <v>248</v>
      </c>
      <c r="B1" s="8"/>
      <c r="C1" s="8"/>
      <c r="D1" s="8"/>
      <c r="E1" s="8"/>
      <c r="F1" s="8"/>
    </row>
    <row r="2" spans="1:11" ht="15" customHeight="1" x14ac:dyDescent="0.25">
      <c r="A2" s="3" t="s">
        <v>49</v>
      </c>
      <c r="B2" s="8"/>
      <c r="C2" s="8"/>
      <c r="D2" s="8"/>
      <c r="E2" s="8"/>
      <c r="F2" s="8"/>
    </row>
    <row r="4" spans="1:11" x14ac:dyDescent="0.25">
      <c r="A4" s="46" t="s">
        <v>125</v>
      </c>
      <c r="B4" s="47" t="s">
        <v>31</v>
      </c>
      <c r="C4" s="47" t="s">
        <v>55</v>
      </c>
      <c r="D4" s="48" t="s">
        <v>32</v>
      </c>
      <c r="E4" s="47" t="s">
        <v>50</v>
      </c>
      <c r="F4" s="47" t="s">
        <v>51</v>
      </c>
      <c r="G4" s="47" t="s">
        <v>52</v>
      </c>
      <c r="H4" s="47" t="s">
        <v>53</v>
      </c>
      <c r="I4" s="47" t="s">
        <v>54</v>
      </c>
      <c r="J4" s="47" t="s">
        <v>198</v>
      </c>
      <c r="K4" s="49" t="s">
        <v>2</v>
      </c>
    </row>
    <row r="5" spans="1:11" x14ac:dyDescent="0.25">
      <c r="A5" s="113" t="s">
        <v>126</v>
      </c>
      <c r="B5" s="117" t="s">
        <v>18</v>
      </c>
      <c r="C5" s="10" t="s">
        <v>56</v>
      </c>
      <c r="D5" s="117" t="s">
        <v>33</v>
      </c>
      <c r="E5" s="111" t="s">
        <v>59</v>
      </c>
      <c r="F5" s="11" t="s">
        <v>100</v>
      </c>
      <c r="G5" s="12">
        <f>DATE(2026,8,1)</f>
        <v>46235</v>
      </c>
      <c r="H5" s="12">
        <f t="shared" ref="H5:H10" si="0">G5+I5-1</f>
        <v>46236</v>
      </c>
      <c r="I5" s="13">
        <v>2</v>
      </c>
      <c r="J5" s="14">
        <v>0</v>
      </c>
      <c r="K5" s="50" t="s">
        <v>123</v>
      </c>
    </row>
    <row r="6" spans="1:11" x14ac:dyDescent="0.25">
      <c r="A6" s="113"/>
      <c r="B6" s="117"/>
      <c r="C6" s="15" t="s">
        <v>57</v>
      </c>
      <c r="D6" s="117"/>
      <c r="E6" s="111"/>
      <c r="F6" s="16" t="s">
        <v>101</v>
      </c>
      <c r="G6" s="12">
        <f>H5+1</f>
        <v>46237</v>
      </c>
      <c r="H6" s="12">
        <f t="shared" si="0"/>
        <v>46237</v>
      </c>
      <c r="I6" s="13">
        <v>1</v>
      </c>
      <c r="J6" s="14">
        <v>0</v>
      </c>
      <c r="K6" s="50" t="s">
        <v>123</v>
      </c>
    </row>
    <row r="7" spans="1:11" x14ac:dyDescent="0.25">
      <c r="A7" s="113"/>
      <c r="B7" s="117"/>
      <c r="C7" s="15" t="s">
        <v>58</v>
      </c>
      <c r="D7" s="117"/>
      <c r="E7" s="111"/>
      <c r="F7" s="16" t="s">
        <v>102</v>
      </c>
      <c r="G7" s="12">
        <f t="shared" ref="G7:G34" si="1">H6+1</f>
        <v>46238</v>
      </c>
      <c r="H7" s="12">
        <f t="shared" si="0"/>
        <v>46238</v>
      </c>
      <c r="I7" s="13">
        <v>1</v>
      </c>
      <c r="J7" s="14">
        <v>0</v>
      </c>
      <c r="K7" s="50" t="s">
        <v>123</v>
      </c>
    </row>
    <row r="8" spans="1:11" s="5" customFormat="1" ht="17.25" customHeight="1" x14ac:dyDescent="0.25">
      <c r="A8" s="114" t="s">
        <v>127</v>
      </c>
      <c r="B8" s="117" t="s">
        <v>19</v>
      </c>
      <c r="C8" s="17" t="s">
        <v>60</v>
      </c>
      <c r="D8" s="111" t="s">
        <v>34</v>
      </c>
      <c r="E8" s="111" t="s">
        <v>115</v>
      </c>
      <c r="F8" s="18" t="s">
        <v>103</v>
      </c>
      <c r="G8" s="12">
        <f t="shared" si="1"/>
        <v>46239</v>
      </c>
      <c r="H8" s="12">
        <f t="shared" si="0"/>
        <v>46243</v>
      </c>
      <c r="I8" s="19">
        <v>5</v>
      </c>
      <c r="J8" s="20">
        <v>0</v>
      </c>
      <c r="K8" s="51" t="s">
        <v>123</v>
      </c>
    </row>
    <row r="9" spans="1:11" s="5" customFormat="1" x14ac:dyDescent="0.25">
      <c r="A9" s="114"/>
      <c r="B9" s="117"/>
      <c r="C9" s="21" t="s">
        <v>61</v>
      </c>
      <c r="D9" s="111"/>
      <c r="E9" s="111"/>
      <c r="F9" s="22" t="s">
        <v>103</v>
      </c>
      <c r="G9" s="12">
        <f t="shared" si="1"/>
        <v>46244</v>
      </c>
      <c r="H9" s="12">
        <f t="shared" si="0"/>
        <v>46248</v>
      </c>
      <c r="I9" s="19">
        <v>5</v>
      </c>
      <c r="J9" s="20">
        <v>0</v>
      </c>
      <c r="K9" s="51" t="s">
        <v>123</v>
      </c>
    </row>
    <row r="10" spans="1:11" s="5" customFormat="1" x14ac:dyDescent="0.25">
      <c r="A10" s="114"/>
      <c r="B10" s="117"/>
      <c r="C10" s="23" t="s">
        <v>62</v>
      </c>
      <c r="D10" s="111"/>
      <c r="E10" s="111"/>
      <c r="F10" s="24" t="s">
        <v>103</v>
      </c>
      <c r="G10" s="12">
        <f t="shared" si="1"/>
        <v>46249</v>
      </c>
      <c r="H10" s="12">
        <f t="shared" si="0"/>
        <v>46251</v>
      </c>
      <c r="I10" s="19">
        <v>3</v>
      </c>
      <c r="J10" s="20">
        <v>0</v>
      </c>
      <c r="K10" s="51" t="s">
        <v>123</v>
      </c>
    </row>
    <row r="11" spans="1:11" ht="15" customHeight="1" x14ac:dyDescent="0.25">
      <c r="A11" s="113" t="s">
        <v>128</v>
      </c>
      <c r="B11" s="111" t="s">
        <v>63</v>
      </c>
      <c r="C11" s="10" t="s">
        <v>64</v>
      </c>
      <c r="D11" s="111" t="s">
        <v>35</v>
      </c>
      <c r="E11" s="111" t="s">
        <v>67</v>
      </c>
      <c r="F11" s="11" t="s">
        <v>104</v>
      </c>
      <c r="G11" s="12">
        <f t="shared" si="1"/>
        <v>46252</v>
      </c>
      <c r="H11" s="12">
        <f t="shared" ref="H11:H34" si="2">G11+I11-1</f>
        <v>46256</v>
      </c>
      <c r="I11" s="13">
        <v>5</v>
      </c>
      <c r="J11" s="14">
        <v>0</v>
      </c>
      <c r="K11" s="50" t="s">
        <v>123</v>
      </c>
    </row>
    <row r="12" spans="1:11" x14ac:dyDescent="0.25">
      <c r="A12" s="113"/>
      <c r="B12" s="111"/>
      <c r="C12" s="10" t="s">
        <v>65</v>
      </c>
      <c r="D12" s="111"/>
      <c r="E12" s="111"/>
      <c r="F12" s="11" t="s">
        <v>104</v>
      </c>
      <c r="G12" s="12">
        <f t="shared" si="1"/>
        <v>46257</v>
      </c>
      <c r="H12" s="12">
        <f t="shared" si="2"/>
        <v>46261</v>
      </c>
      <c r="I12" s="13">
        <v>5</v>
      </c>
      <c r="J12" s="14">
        <v>0</v>
      </c>
      <c r="K12" s="50" t="s">
        <v>123</v>
      </c>
    </row>
    <row r="13" spans="1:11" x14ac:dyDescent="0.25">
      <c r="A13" s="113"/>
      <c r="B13" s="111"/>
      <c r="C13" s="15" t="s">
        <v>66</v>
      </c>
      <c r="D13" s="111"/>
      <c r="E13" s="111"/>
      <c r="F13" s="16" t="s">
        <v>104</v>
      </c>
      <c r="G13" s="12">
        <f t="shared" si="1"/>
        <v>46262</v>
      </c>
      <c r="H13" s="12">
        <f t="shared" si="2"/>
        <v>46266</v>
      </c>
      <c r="I13" s="13">
        <v>5</v>
      </c>
      <c r="J13" s="14">
        <v>0</v>
      </c>
      <c r="K13" s="50" t="s">
        <v>123</v>
      </c>
    </row>
    <row r="14" spans="1:11" x14ac:dyDescent="0.25">
      <c r="A14" s="113" t="s">
        <v>129</v>
      </c>
      <c r="B14" s="111" t="s">
        <v>68</v>
      </c>
      <c r="C14" s="15" t="s">
        <v>69</v>
      </c>
      <c r="D14" s="111" t="s">
        <v>36</v>
      </c>
      <c r="E14" s="111" t="s">
        <v>72</v>
      </c>
      <c r="F14" s="16" t="s">
        <v>103</v>
      </c>
      <c r="G14" s="12">
        <f t="shared" si="1"/>
        <v>46267</v>
      </c>
      <c r="H14" s="12">
        <f t="shared" si="2"/>
        <v>46269</v>
      </c>
      <c r="I14" s="13">
        <v>3</v>
      </c>
      <c r="J14" s="14">
        <v>0</v>
      </c>
      <c r="K14" s="50" t="s">
        <v>123</v>
      </c>
    </row>
    <row r="15" spans="1:11" x14ac:dyDescent="0.25">
      <c r="A15" s="113"/>
      <c r="B15" s="111"/>
      <c r="C15" s="10" t="s">
        <v>70</v>
      </c>
      <c r="D15" s="111"/>
      <c r="E15" s="111"/>
      <c r="F15" s="11" t="s">
        <v>104</v>
      </c>
      <c r="G15" s="12">
        <f t="shared" si="1"/>
        <v>46270</v>
      </c>
      <c r="H15" s="12">
        <f t="shared" si="2"/>
        <v>46272</v>
      </c>
      <c r="I15" s="13">
        <v>3</v>
      </c>
      <c r="J15" s="14">
        <v>0</v>
      </c>
      <c r="K15" s="50" t="s">
        <v>123</v>
      </c>
    </row>
    <row r="16" spans="1:11" x14ac:dyDescent="0.25">
      <c r="A16" s="113"/>
      <c r="B16" s="111"/>
      <c r="C16" s="10" t="s">
        <v>71</v>
      </c>
      <c r="D16" s="111"/>
      <c r="E16" s="111"/>
      <c r="F16" s="11" t="s">
        <v>104</v>
      </c>
      <c r="G16" s="12">
        <f t="shared" si="1"/>
        <v>46273</v>
      </c>
      <c r="H16" s="12">
        <f t="shared" si="2"/>
        <v>46274</v>
      </c>
      <c r="I16" s="13">
        <v>2</v>
      </c>
      <c r="J16" s="14">
        <v>0</v>
      </c>
      <c r="K16" s="50" t="s">
        <v>123</v>
      </c>
    </row>
    <row r="17" spans="1:11" x14ac:dyDescent="0.25">
      <c r="A17" s="113" t="s">
        <v>130</v>
      </c>
      <c r="B17" s="111" t="s">
        <v>250</v>
      </c>
      <c r="C17" s="10" t="s">
        <v>73</v>
      </c>
      <c r="D17" s="111" t="s">
        <v>37</v>
      </c>
      <c r="E17" s="111" t="s">
        <v>76</v>
      </c>
      <c r="F17" s="11" t="s">
        <v>105</v>
      </c>
      <c r="G17" s="12">
        <f t="shared" si="1"/>
        <v>46275</v>
      </c>
      <c r="H17" s="12">
        <f t="shared" si="2"/>
        <v>46276</v>
      </c>
      <c r="I17" s="13">
        <v>2</v>
      </c>
      <c r="J17" s="14">
        <v>0</v>
      </c>
      <c r="K17" s="50" t="s">
        <v>123</v>
      </c>
    </row>
    <row r="18" spans="1:11" x14ac:dyDescent="0.25">
      <c r="A18" s="113"/>
      <c r="B18" s="111"/>
      <c r="C18" s="10" t="s">
        <v>74</v>
      </c>
      <c r="D18" s="111"/>
      <c r="E18" s="111"/>
      <c r="F18" s="11" t="s">
        <v>103</v>
      </c>
      <c r="G18" s="12">
        <f t="shared" si="1"/>
        <v>46277</v>
      </c>
      <c r="H18" s="12">
        <f t="shared" si="2"/>
        <v>46278</v>
      </c>
      <c r="I18" s="13">
        <v>2</v>
      </c>
      <c r="J18" s="14">
        <v>0</v>
      </c>
      <c r="K18" s="50" t="s">
        <v>123</v>
      </c>
    </row>
    <row r="19" spans="1:11" x14ac:dyDescent="0.25">
      <c r="A19" s="113"/>
      <c r="B19" s="111"/>
      <c r="C19" s="15" t="s">
        <v>75</v>
      </c>
      <c r="D19" s="111"/>
      <c r="E19" s="111"/>
      <c r="F19" s="16" t="s">
        <v>106</v>
      </c>
      <c r="G19" s="12">
        <f t="shared" si="1"/>
        <v>46279</v>
      </c>
      <c r="H19" s="12">
        <f t="shared" si="2"/>
        <v>46279</v>
      </c>
      <c r="I19" s="13">
        <v>1</v>
      </c>
      <c r="J19" s="14">
        <v>0</v>
      </c>
      <c r="K19" s="50" t="s">
        <v>123</v>
      </c>
    </row>
    <row r="20" spans="1:11" x14ac:dyDescent="0.25">
      <c r="A20" s="113" t="s">
        <v>131</v>
      </c>
      <c r="B20" s="116" t="s">
        <v>22</v>
      </c>
      <c r="C20" s="10" t="s">
        <v>77</v>
      </c>
      <c r="D20" s="111" t="s">
        <v>38</v>
      </c>
      <c r="E20" s="111" t="s">
        <v>80</v>
      </c>
      <c r="F20" s="11" t="s">
        <v>101</v>
      </c>
      <c r="G20" s="12">
        <f t="shared" si="1"/>
        <v>46280</v>
      </c>
      <c r="H20" s="12">
        <f t="shared" si="2"/>
        <v>46280</v>
      </c>
      <c r="I20" s="13">
        <v>1</v>
      </c>
      <c r="J20" s="14">
        <v>0</v>
      </c>
      <c r="K20" s="50" t="s">
        <v>123</v>
      </c>
    </row>
    <row r="21" spans="1:11" x14ac:dyDescent="0.25">
      <c r="A21" s="113"/>
      <c r="B21" s="116"/>
      <c r="C21" s="10" t="s">
        <v>78</v>
      </c>
      <c r="D21" s="111"/>
      <c r="E21" s="111"/>
      <c r="F21" s="11" t="s">
        <v>101</v>
      </c>
      <c r="G21" s="12">
        <f t="shared" si="1"/>
        <v>46281</v>
      </c>
      <c r="H21" s="12">
        <f>G21+I21-1</f>
        <v>46281</v>
      </c>
      <c r="I21" s="13">
        <v>1</v>
      </c>
      <c r="J21" s="14">
        <v>0</v>
      </c>
      <c r="K21" s="50" t="s">
        <v>123</v>
      </c>
    </row>
    <row r="22" spans="1:11" x14ac:dyDescent="0.25">
      <c r="A22" s="113"/>
      <c r="B22" s="116"/>
      <c r="C22" s="10" t="s">
        <v>79</v>
      </c>
      <c r="D22" s="111"/>
      <c r="E22" s="111"/>
      <c r="F22" s="11" t="s">
        <v>101</v>
      </c>
      <c r="G22" s="12">
        <f>H21</f>
        <v>46281</v>
      </c>
      <c r="H22" s="12">
        <f>G22+I22-1</f>
        <v>46281</v>
      </c>
      <c r="I22" s="13">
        <v>1</v>
      </c>
      <c r="J22" s="14">
        <v>0</v>
      </c>
      <c r="K22" s="50" t="s">
        <v>123</v>
      </c>
    </row>
    <row r="23" spans="1:11" x14ac:dyDescent="0.25">
      <c r="A23" s="113" t="s">
        <v>132</v>
      </c>
      <c r="B23" s="111" t="s">
        <v>81</v>
      </c>
      <c r="C23" s="15" t="s">
        <v>82</v>
      </c>
      <c r="D23" s="111" t="s">
        <v>39</v>
      </c>
      <c r="E23" s="111" t="s">
        <v>85</v>
      </c>
      <c r="F23" s="16" t="s">
        <v>107</v>
      </c>
      <c r="G23" s="12">
        <f t="shared" si="1"/>
        <v>46282</v>
      </c>
      <c r="H23" s="12">
        <f t="shared" si="2"/>
        <v>46282</v>
      </c>
      <c r="I23" s="13">
        <v>1</v>
      </c>
      <c r="J23" s="14">
        <v>0</v>
      </c>
      <c r="K23" s="50" t="s">
        <v>123</v>
      </c>
    </row>
    <row r="24" spans="1:11" x14ac:dyDescent="0.25">
      <c r="A24" s="113"/>
      <c r="B24" s="111"/>
      <c r="C24" s="10" t="s">
        <v>83</v>
      </c>
      <c r="D24" s="111"/>
      <c r="E24" s="111"/>
      <c r="F24" s="11" t="s">
        <v>108</v>
      </c>
      <c r="G24" s="12">
        <f t="shared" si="1"/>
        <v>46283</v>
      </c>
      <c r="H24" s="12">
        <f t="shared" si="2"/>
        <v>46283</v>
      </c>
      <c r="I24" s="13">
        <v>1</v>
      </c>
      <c r="J24" s="14">
        <v>0</v>
      </c>
      <c r="K24" s="50" t="s">
        <v>123</v>
      </c>
    </row>
    <row r="25" spans="1:11" x14ac:dyDescent="0.25">
      <c r="A25" s="113"/>
      <c r="B25" s="111"/>
      <c r="C25" s="10" t="s">
        <v>84</v>
      </c>
      <c r="D25" s="111"/>
      <c r="E25" s="111"/>
      <c r="F25" s="11" t="s">
        <v>109</v>
      </c>
      <c r="G25" s="12">
        <f t="shared" si="1"/>
        <v>46284</v>
      </c>
      <c r="H25" s="12">
        <f t="shared" si="2"/>
        <v>46284</v>
      </c>
      <c r="I25" s="13">
        <v>1</v>
      </c>
      <c r="J25" s="14">
        <v>0</v>
      </c>
      <c r="K25" s="50" t="s">
        <v>123</v>
      </c>
    </row>
    <row r="26" spans="1:11" x14ac:dyDescent="0.25">
      <c r="A26" s="113" t="s">
        <v>133</v>
      </c>
      <c r="B26" s="111" t="s">
        <v>251</v>
      </c>
      <c r="C26" s="10" t="s">
        <v>122</v>
      </c>
      <c r="D26" s="111" t="s">
        <v>40</v>
      </c>
      <c r="E26" s="111" t="s">
        <v>87</v>
      </c>
      <c r="F26" s="11" t="s">
        <v>108</v>
      </c>
      <c r="G26" s="106">
        <f t="shared" si="1"/>
        <v>46285</v>
      </c>
      <c r="H26" s="106">
        <f t="shared" si="2"/>
        <v>46410</v>
      </c>
      <c r="I26" s="107">
        <v>126</v>
      </c>
      <c r="J26" s="105">
        <v>0</v>
      </c>
      <c r="K26" s="101" t="s">
        <v>123</v>
      </c>
    </row>
    <row r="27" spans="1:11" x14ac:dyDescent="0.25">
      <c r="A27" s="113"/>
      <c r="B27" s="111"/>
      <c r="C27" s="10" t="s">
        <v>86</v>
      </c>
      <c r="D27" s="111"/>
      <c r="E27" s="111"/>
      <c r="F27" s="11" t="s">
        <v>110</v>
      </c>
      <c r="G27" s="106"/>
      <c r="H27" s="106"/>
      <c r="I27" s="107"/>
      <c r="J27" s="105"/>
      <c r="K27" s="101"/>
    </row>
    <row r="28" spans="1:11" x14ac:dyDescent="0.25">
      <c r="A28" s="113" t="s">
        <v>134</v>
      </c>
      <c r="B28" s="111" t="s">
        <v>88</v>
      </c>
      <c r="C28" s="10" t="s">
        <v>89</v>
      </c>
      <c r="D28" s="111" t="s">
        <v>41</v>
      </c>
      <c r="E28" s="111" t="s">
        <v>92</v>
      </c>
      <c r="F28" s="11" t="s">
        <v>111</v>
      </c>
      <c r="G28" s="12">
        <f>H26+1</f>
        <v>46411</v>
      </c>
      <c r="H28" s="12">
        <f>G28+I28-1</f>
        <v>46415</v>
      </c>
      <c r="I28" s="13">
        <v>5</v>
      </c>
      <c r="J28" s="14">
        <v>0</v>
      </c>
      <c r="K28" s="50" t="s">
        <v>123</v>
      </c>
    </row>
    <row r="29" spans="1:11" x14ac:dyDescent="0.25">
      <c r="A29" s="113"/>
      <c r="B29" s="111"/>
      <c r="C29" s="15" t="s">
        <v>90</v>
      </c>
      <c r="D29" s="111"/>
      <c r="E29" s="111"/>
      <c r="F29" s="16" t="s">
        <v>111</v>
      </c>
      <c r="G29" s="12">
        <f t="shared" si="1"/>
        <v>46416</v>
      </c>
      <c r="H29" s="12">
        <f t="shared" si="2"/>
        <v>46420</v>
      </c>
      <c r="I29" s="13">
        <v>5</v>
      </c>
      <c r="J29" s="14">
        <v>0</v>
      </c>
      <c r="K29" s="50" t="s">
        <v>123</v>
      </c>
    </row>
    <row r="30" spans="1:11" x14ac:dyDescent="0.25">
      <c r="A30" s="113"/>
      <c r="B30" s="111"/>
      <c r="C30" s="10" t="s">
        <v>91</v>
      </c>
      <c r="D30" s="111"/>
      <c r="E30" s="111"/>
      <c r="F30" s="11" t="s">
        <v>112</v>
      </c>
      <c r="G30" s="12">
        <f t="shared" si="1"/>
        <v>46421</v>
      </c>
      <c r="H30" s="12">
        <f t="shared" si="2"/>
        <v>46425</v>
      </c>
      <c r="I30" s="13">
        <v>5</v>
      </c>
      <c r="J30" s="14">
        <v>0</v>
      </c>
      <c r="K30" s="50" t="s">
        <v>123</v>
      </c>
    </row>
    <row r="31" spans="1:11" x14ac:dyDescent="0.25">
      <c r="A31" s="114" t="s">
        <v>135</v>
      </c>
      <c r="B31" s="111" t="s">
        <v>252</v>
      </c>
      <c r="C31" s="15" t="s">
        <v>93</v>
      </c>
      <c r="D31" s="111" t="s">
        <v>42</v>
      </c>
      <c r="E31" s="111" t="s">
        <v>96</v>
      </c>
      <c r="F31" s="16" t="s">
        <v>113</v>
      </c>
      <c r="G31" s="12">
        <f t="shared" si="1"/>
        <v>46426</v>
      </c>
      <c r="H31" s="12">
        <f t="shared" si="2"/>
        <v>46427</v>
      </c>
      <c r="I31" s="13">
        <v>2</v>
      </c>
      <c r="J31" s="14">
        <v>0</v>
      </c>
      <c r="K31" s="50" t="s">
        <v>123</v>
      </c>
    </row>
    <row r="32" spans="1:11" x14ac:dyDescent="0.25">
      <c r="A32" s="114"/>
      <c r="B32" s="111"/>
      <c r="C32" s="10" t="s">
        <v>94</v>
      </c>
      <c r="D32" s="111"/>
      <c r="E32" s="111"/>
      <c r="F32" s="11" t="s">
        <v>114</v>
      </c>
      <c r="G32" s="12">
        <f t="shared" si="1"/>
        <v>46428</v>
      </c>
      <c r="H32" s="12">
        <f t="shared" si="2"/>
        <v>46433</v>
      </c>
      <c r="I32" s="13">
        <v>6</v>
      </c>
      <c r="J32" s="14">
        <v>0</v>
      </c>
      <c r="K32" s="50" t="s">
        <v>123</v>
      </c>
    </row>
    <row r="33" spans="1:11" x14ac:dyDescent="0.25">
      <c r="A33" s="114"/>
      <c r="B33" s="111"/>
      <c r="C33" s="10" t="s">
        <v>95</v>
      </c>
      <c r="D33" s="111"/>
      <c r="E33" s="111"/>
      <c r="F33" s="11" t="s">
        <v>106</v>
      </c>
      <c r="G33" s="12">
        <f t="shared" si="1"/>
        <v>46434</v>
      </c>
      <c r="H33" s="12">
        <f t="shared" si="2"/>
        <v>46434</v>
      </c>
      <c r="I33" s="13">
        <v>1</v>
      </c>
      <c r="J33" s="14">
        <v>0</v>
      </c>
      <c r="K33" s="50" t="s">
        <v>123</v>
      </c>
    </row>
    <row r="34" spans="1:11" x14ac:dyDescent="0.25">
      <c r="A34" s="114" t="s">
        <v>136</v>
      </c>
      <c r="B34" s="111" t="s">
        <v>253</v>
      </c>
      <c r="C34" s="15" t="s">
        <v>97</v>
      </c>
      <c r="D34" s="111" t="s">
        <v>43</v>
      </c>
      <c r="E34" s="111" t="s">
        <v>99</v>
      </c>
      <c r="F34" s="16" t="s">
        <v>108</v>
      </c>
      <c r="G34" s="106">
        <f t="shared" si="1"/>
        <v>46435</v>
      </c>
      <c r="H34" s="106">
        <f t="shared" si="2"/>
        <v>46524</v>
      </c>
      <c r="I34" s="109">
        <v>90</v>
      </c>
      <c r="J34" s="103">
        <v>0</v>
      </c>
      <c r="K34" s="101" t="s">
        <v>123</v>
      </c>
    </row>
    <row r="35" spans="1:11" x14ac:dyDescent="0.25">
      <c r="A35" s="115"/>
      <c r="B35" s="112"/>
      <c r="C35" s="52" t="s">
        <v>98</v>
      </c>
      <c r="D35" s="112"/>
      <c r="E35" s="112"/>
      <c r="F35" s="53" t="s">
        <v>109</v>
      </c>
      <c r="G35" s="108"/>
      <c r="H35" s="108"/>
      <c r="I35" s="110"/>
      <c r="J35" s="104"/>
      <c r="K35" s="102"/>
    </row>
  </sheetData>
  <mergeCells count="54">
    <mergeCell ref="E5:E7"/>
    <mergeCell ref="A5:A7"/>
    <mergeCell ref="B5:B7"/>
    <mergeCell ref="D5:D7"/>
    <mergeCell ref="A28:A30"/>
    <mergeCell ref="A17:A19"/>
    <mergeCell ref="B17:B19"/>
    <mergeCell ref="A8:A10"/>
    <mergeCell ref="B8:B10"/>
    <mergeCell ref="A14:A16"/>
    <mergeCell ref="B14:B16"/>
    <mergeCell ref="D14:D16"/>
    <mergeCell ref="E11:E13"/>
    <mergeCell ref="E14:E16"/>
    <mergeCell ref="D8:D10"/>
    <mergeCell ref="E8:E10"/>
    <mergeCell ref="A11:A13"/>
    <mergeCell ref="B11:B13"/>
    <mergeCell ref="D11:D13"/>
    <mergeCell ref="A20:A22"/>
    <mergeCell ref="B20:B22"/>
    <mergeCell ref="D20:D22"/>
    <mergeCell ref="D17:D19"/>
    <mergeCell ref="A23:A25"/>
    <mergeCell ref="A26:A27"/>
    <mergeCell ref="D23:D25"/>
    <mergeCell ref="D26:D27"/>
    <mergeCell ref="A34:A35"/>
    <mergeCell ref="B34:B35"/>
    <mergeCell ref="B31:B33"/>
    <mergeCell ref="B28:B30"/>
    <mergeCell ref="B23:B25"/>
    <mergeCell ref="B26:B27"/>
    <mergeCell ref="A31:A33"/>
    <mergeCell ref="D31:D33"/>
    <mergeCell ref="D34:D35"/>
    <mergeCell ref="D28:D30"/>
    <mergeCell ref="E34:E35"/>
    <mergeCell ref="E31:E33"/>
    <mergeCell ref="E28:E30"/>
    <mergeCell ref="E26:E27"/>
    <mergeCell ref="E17:E19"/>
    <mergeCell ref="E20:E22"/>
    <mergeCell ref="E23:E25"/>
    <mergeCell ref="K26:K27"/>
    <mergeCell ref="K34:K35"/>
    <mergeCell ref="J34:J35"/>
    <mergeCell ref="J26:J27"/>
    <mergeCell ref="G26:G27"/>
    <mergeCell ref="H26:H27"/>
    <mergeCell ref="I26:I27"/>
    <mergeCell ref="G34:G35"/>
    <mergeCell ref="H34:H35"/>
    <mergeCell ref="I34:I35"/>
  </mergeCells>
  <conditionalFormatting sqref="B5:J35">
    <cfRule type="expression" dxfId="11" priority="1">
      <formula>MOD(ROW(),2)=0</formula>
    </cfRule>
  </conditionalFormatting>
  <conditionalFormatting sqref="K5:K35">
    <cfRule type="containsText" dxfId="10" priority="2" operator="containsText" text="Chậm tiến độ">
      <formula>NOT(ISERROR(SEARCH("Chậm tiến độ",K5)))</formula>
    </cfRule>
    <cfRule type="containsText" dxfId="9" priority="3" operator="containsText" text="Đang triển khai">
      <formula>NOT(ISERROR(SEARCH("Đang triển khai",K5)))</formula>
    </cfRule>
    <cfRule type="containsText" dxfId="8" priority="4" operator="containsText" text="Hoàn thành">
      <formula>NOT(ISERROR(SEARCH("Hoàn thành",K5)))</formula>
    </cfRule>
    <cfRule type="containsText" dxfId="7" priority="5" operator="containsText" text="Chưa bắt đầu">
      <formula>NOT(ISERROR(SEARCH("Chưa bắt đầu",K5)))</formula>
    </cfRule>
  </conditionalFormatting>
  <dataValidations count="1">
    <dataValidation type="list" allowBlank="1" showInputMessage="1" showErrorMessage="1" sqref="K5:K35" xr:uid="{BB195B83-F122-447C-8835-2E16518163C9}">
      <formula1>"Chưa bắt đầu, Đang triển khai, Hoàn thành, Chậm tiến độ"</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F6719-C201-42D1-A0D8-D7B8EA5AD588}">
  <sheetPr>
    <tabColor rgb="FFFF7C80"/>
  </sheetPr>
  <dimension ref="A1:J37"/>
  <sheetViews>
    <sheetView workbookViewId="0">
      <selection activeCell="A6" sqref="A6:J27"/>
    </sheetView>
  </sheetViews>
  <sheetFormatPr defaultRowHeight="15" x14ac:dyDescent="0.25"/>
  <cols>
    <col min="1" max="1" width="8.140625" style="4" customWidth="1"/>
    <col min="2" max="2" width="22.28515625" style="4" customWidth="1"/>
    <col min="3" max="3" width="44.5703125" style="4" customWidth="1"/>
    <col min="4" max="4" width="47.42578125" style="4" customWidth="1"/>
    <col min="5" max="5" width="19.85546875" style="4" customWidth="1"/>
    <col min="6" max="6" width="8.140625" style="4" customWidth="1"/>
    <col min="7" max="7" width="13.7109375" style="4" customWidth="1"/>
    <col min="8" max="8" width="15" style="4" customWidth="1"/>
    <col min="9" max="9" width="13.42578125" style="4" customWidth="1"/>
    <col min="10" max="10" width="15.140625" style="4" customWidth="1"/>
    <col min="11" max="16384" width="9.140625" style="4"/>
  </cols>
  <sheetData>
    <row r="1" spans="1:10" ht="20.25" x14ac:dyDescent="0.3">
      <c r="A1" s="118" t="s">
        <v>124</v>
      </c>
      <c r="B1" s="118"/>
      <c r="C1" s="118"/>
      <c r="D1" s="118"/>
      <c r="E1" s="118"/>
      <c r="F1" s="118"/>
      <c r="G1" s="118"/>
    </row>
    <row r="2" spans="1:10" x14ac:dyDescent="0.25">
      <c r="A2" s="127" t="s">
        <v>52</v>
      </c>
      <c r="B2" s="127"/>
      <c r="C2" s="34">
        <f>'MASTER PLAN'!H25+1</f>
        <v>46285</v>
      </c>
    </row>
    <row r="3" spans="1:10" x14ac:dyDescent="0.25">
      <c r="A3" s="127" t="s">
        <v>53</v>
      </c>
      <c r="B3" s="127"/>
      <c r="C3" s="34">
        <f>'MASTER PLAN'!G28-1</f>
        <v>46410</v>
      </c>
    </row>
    <row r="6" spans="1:10" x14ac:dyDescent="0.25">
      <c r="A6" s="54" t="s">
        <v>3</v>
      </c>
      <c r="B6" s="47" t="s">
        <v>32</v>
      </c>
      <c r="C6" s="47" t="s">
        <v>139</v>
      </c>
      <c r="D6" s="47" t="s">
        <v>138</v>
      </c>
      <c r="E6" s="47" t="s">
        <v>51</v>
      </c>
      <c r="F6" s="47" t="s">
        <v>54</v>
      </c>
      <c r="G6" s="47" t="s">
        <v>52</v>
      </c>
      <c r="H6" s="47" t="s">
        <v>53</v>
      </c>
      <c r="I6" s="47" t="s">
        <v>198</v>
      </c>
      <c r="J6" s="49" t="s">
        <v>2</v>
      </c>
    </row>
    <row r="7" spans="1:10" x14ac:dyDescent="0.25">
      <c r="A7" s="119" t="s">
        <v>137</v>
      </c>
      <c r="B7" s="121" t="s">
        <v>140</v>
      </c>
      <c r="C7" s="29" t="s">
        <v>141</v>
      </c>
      <c r="D7" s="29" t="s">
        <v>143</v>
      </c>
      <c r="E7" s="30" t="s">
        <v>191</v>
      </c>
      <c r="F7" s="31">
        <v>3</v>
      </c>
      <c r="G7" s="26">
        <f>C2</f>
        <v>46285</v>
      </c>
      <c r="H7" s="26">
        <f>G7+F7-1</f>
        <v>46287</v>
      </c>
      <c r="I7" s="32">
        <v>0</v>
      </c>
      <c r="J7" s="40" t="s">
        <v>123</v>
      </c>
    </row>
    <row r="8" spans="1:10" x14ac:dyDescent="0.25">
      <c r="A8" s="119"/>
      <c r="B8" s="121"/>
      <c r="C8" s="29" t="s">
        <v>142</v>
      </c>
      <c r="D8" s="29" t="s">
        <v>144</v>
      </c>
      <c r="E8" s="30" t="s">
        <v>192</v>
      </c>
      <c r="F8" s="31">
        <v>5</v>
      </c>
      <c r="G8" s="26">
        <f>H7+1</f>
        <v>46288</v>
      </c>
      <c r="H8" s="26">
        <f>G8+F8-1</f>
        <v>46292</v>
      </c>
      <c r="I8" s="32">
        <v>0</v>
      </c>
      <c r="J8" s="40" t="s">
        <v>123</v>
      </c>
    </row>
    <row r="9" spans="1:10" x14ac:dyDescent="0.25">
      <c r="A9" s="119" t="s">
        <v>145</v>
      </c>
      <c r="B9" s="123" t="s">
        <v>146</v>
      </c>
      <c r="C9" s="29" t="s">
        <v>147</v>
      </c>
      <c r="D9" s="29" t="s">
        <v>149</v>
      </c>
      <c r="E9" s="30" t="s">
        <v>191</v>
      </c>
      <c r="F9" s="31">
        <v>5</v>
      </c>
      <c r="G9" s="26">
        <f>H8+1</f>
        <v>46293</v>
      </c>
      <c r="H9" s="26">
        <f t="shared" ref="H9:H27" si="0">G9+F9-1</f>
        <v>46297</v>
      </c>
      <c r="I9" s="32">
        <v>0</v>
      </c>
      <c r="J9" s="40" t="s">
        <v>123</v>
      </c>
    </row>
    <row r="10" spans="1:10" x14ac:dyDescent="0.25">
      <c r="A10" s="119"/>
      <c r="B10" s="123"/>
      <c r="C10" s="29" t="s">
        <v>148</v>
      </c>
      <c r="D10" s="29" t="s">
        <v>150</v>
      </c>
      <c r="E10" s="30" t="s">
        <v>193</v>
      </c>
      <c r="F10" s="31">
        <v>7</v>
      </c>
      <c r="G10" s="26">
        <f t="shared" ref="G10" si="1">H9+1</f>
        <v>46298</v>
      </c>
      <c r="H10" s="26">
        <f t="shared" si="0"/>
        <v>46304</v>
      </c>
      <c r="I10" s="33">
        <v>0</v>
      </c>
      <c r="J10" s="55" t="s">
        <v>123</v>
      </c>
    </row>
    <row r="11" spans="1:10" x14ac:dyDescent="0.25">
      <c r="A11" s="119" t="s">
        <v>151</v>
      </c>
      <c r="B11" s="121" t="s">
        <v>152</v>
      </c>
      <c r="C11" s="29" t="s">
        <v>153</v>
      </c>
      <c r="D11" s="29" t="s">
        <v>155</v>
      </c>
      <c r="E11" s="30" t="s">
        <v>193</v>
      </c>
      <c r="F11" s="31">
        <v>7</v>
      </c>
      <c r="G11" s="26">
        <f>H10+1</f>
        <v>46305</v>
      </c>
      <c r="H11" s="26">
        <f t="shared" si="0"/>
        <v>46311</v>
      </c>
      <c r="I11" s="33">
        <v>0</v>
      </c>
      <c r="J11" s="55" t="s">
        <v>123</v>
      </c>
    </row>
    <row r="12" spans="1:10" x14ac:dyDescent="0.25">
      <c r="A12" s="119"/>
      <c r="B12" s="121"/>
      <c r="C12" s="29" t="s">
        <v>154</v>
      </c>
      <c r="D12" s="29" t="s">
        <v>156</v>
      </c>
      <c r="E12" s="30" t="s">
        <v>191</v>
      </c>
      <c r="F12" s="31">
        <v>5</v>
      </c>
      <c r="G12" s="26">
        <f t="shared" ref="G12:G27" si="2">H11+1</f>
        <v>46312</v>
      </c>
      <c r="H12" s="26">
        <f>G12+F12-1</f>
        <v>46316</v>
      </c>
      <c r="I12" s="33">
        <v>0</v>
      </c>
      <c r="J12" s="55" t="s">
        <v>123</v>
      </c>
    </row>
    <row r="13" spans="1:10" x14ac:dyDescent="0.25">
      <c r="A13" s="119" t="s">
        <v>157</v>
      </c>
      <c r="B13" s="123" t="s">
        <v>158</v>
      </c>
      <c r="C13" s="29" t="s">
        <v>159</v>
      </c>
      <c r="D13" s="29" t="s">
        <v>161</v>
      </c>
      <c r="E13" s="30" t="s">
        <v>193</v>
      </c>
      <c r="F13" s="31">
        <v>7</v>
      </c>
      <c r="G13" s="26">
        <f t="shared" si="2"/>
        <v>46317</v>
      </c>
      <c r="H13" s="26">
        <f t="shared" si="0"/>
        <v>46323</v>
      </c>
      <c r="I13" s="32">
        <v>0</v>
      </c>
      <c r="J13" s="40" t="s">
        <v>123</v>
      </c>
    </row>
    <row r="14" spans="1:10" x14ac:dyDescent="0.25">
      <c r="A14" s="119"/>
      <c r="B14" s="123"/>
      <c r="C14" s="29" t="s">
        <v>160</v>
      </c>
      <c r="D14" s="29" t="s">
        <v>162</v>
      </c>
      <c r="E14" s="30" t="s">
        <v>191</v>
      </c>
      <c r="F14" s="31">
        <v>7</v>
      </c>
      <c r="G14" s="26">
        <f t="shared" si="2"/>
        <v>46324</v>
      </c>
      <c r="H14" s="26">
        <f t="shared" si="0"/>
        <v>46330</v>
      </c>
      <c r="I14" s="32">
        <v>0</v>
      </c>
      <c r="J14" s="40" t="s">
        <v>123</v>
      </c>
    </row>
    <row r="15" spans="1:10" x14ac:dyDescent="0.25">
      <c r="A15" s="119" t="s">
        <v>163</v>
      </c>
      <c r="B15" s="121" t="s">
        <v>164</v>
      </c>
      <c r="C15" s="29" t="s">
        <v>165</v>
      </c>
      <c r="D15" s="29" t="s">
        <v>167</v>
      </c>
      <c r="E15" s="30" t="s">
        <v>191</v>
      </c>
      <c r="F15" s="31">
        <v>7</v>
      </c>
      <c r="G15" s="26">
        <f t="shared" si="2"/>
        <v>46331</v>
      </c>
      <c r="H15" s="26">
        <f t="shared" si="0"/>
        <v>46337</v>
      </c>
      <c r="I15" s="32">
        <v>0</v>
      </c>
      <c r="J15" s="40" t="s">
        <v>123</v>
      </c>
    </row>
    <row r="16" spans="1:10" x14ac:dyDescent="0.25">
      <c r="A16" s="119"/>
      <c r="B16" s="121"/>
      <c r="C16" s="29" t="s">
        <v>166</v>
      </c>
      <c r="D16" s="29" t="s">
        <v>168</v>
      </c>
      <c r="E16" s="30" t="s">
        <v>191</v>
      </c>
      <c r="F16" s="31">
        <v>7</v>
      </c>
      <c r="G16" s="26">
        <f t="shared" si="2"/>
        <v>46338</v>
      </c>
      <c r="H16" s="26">
        <f t="shared" si="0"/>
        <v>46344</v>
      </c>
      <c r="I16" s="32">
        <v>0</v>
      </c>
      <c r="J16" s="40" t="s">
        <v>123</v>
      </c>
    </row>
    <row r="17" spans="1:10" x14ac:dyDescent="0.25">
      <c r="A17" s="119" t="s">
        <v>4</v>
      </c>
      <c r="B17" s="125" t="s">
        <v>169</v>
      </c>
      <c r="C17" s="126"/>
      <c r="D17" s="29" t="s">
        <v>170</v>
      </c>
      <c r="E17" s="30" t="s">
        <v>193</v>
      </c>
      <c r="F17" s="31">
        <v>5</v>
      </c>
      <c r="G17" s="26">
        <f t="shared" si="2"/>
        <v>46345</v>
      </c>
      <c r="H17" s="26">
        <f t="shared" si="0"/>
        <v>46349</v>
      </c>
      <c r="I17" s="32">
        <v>0</v>
      </c>
      <c r="J17" s="40" t="s">
        <v>123</v>
      </c>
    </row>
    <row r="18" spans="1:10" x14ac:dyDescent="0.25">
      <c r="A18" s="119"/>
      <c r="B18" s="125"/>
      <c r="C18" s="126"/>
      <c r="D18" s="29" t="s">
        <v>171</v>
      </c>
      <c r="E18" s="30" t="s">
        <v>191</v>
      </c>
      <c r="F18" s="31">
        <v>5</v>
      </c>
      <c r="G18" s="26">
        <f t="shared" si="2"/>
        <v>46350</v>
      </c>
      <c r="H18" s="26">
        <f t="shared" si="0"/>
        <v>46354</v>
      </c>
      <c r="I18" s="32">
        <v>0</v>
      </c>
      <c r="J18" s="40" t="s">
        <v>123</v>
      </c>
    </row>
    <row r="19" spans="1:10" x14ac:dyDescent="0.25">
      <c r="A19" s="119"/>
      <c r="B19" s="125"/>
      <c r="C19" s="126"/>
      <c r="D19" s="29" t="s">
        <v>197</v>
      </c>
      <c r="E19" s="30" t="s">
        <v>191</v>
      </c>
      <c r="F19" s="31">
        <v>5</v>
      </c>
      <c r="G19" s="26">
        <f t="shared" si="2"/>
        <v>46355</v>
      </c>
      <c r="H19" s="26">
        <f t="shared" si="0"/>
        <v>46359</v>
      </c>
      <c r="I19" s="32">
        <v>0</v>
      </c>
      <c r="J19" s="40" t="s">
        <v>123</v>
      </c>
    </row>
    <row r="20" spans="1:10" x14ac:dyDescent="0.25">
      <c r="A20" s="119" t="s">
        <v>5</v>
      </c>
      <c r="B20" s="121" t="s">
        <v>172</v>
      </c>
      <c r="C20" s="126"/>
      <c r="D20" s="29" t="s">
        <v>173</v>
      </c>
      <c r="E20" s="30" t="s">
        <v>191</v>
      </c>
      <c r="F20" s="31">
        <v>7</v>
      </c>
      <c r="G20" s="26">
        <f t="shared" si="2"/>
        <v>46360</v>
      </c>
      <c r="H20" s="26">
        <f t="shared" si="0"/>
        <v>46366</v>
      </c>
      <c r="I20" s="32">
        <v>0</v>
      </c>
      <c r="J20" s="40" t="s">
        <v>123</v>
      </c>
    </row>
    <row r="21" spans="1:10" x14ac:dyDescent="0.25">
      <c r="A21" s="119"/>
      <c r="B21" s="121"/>
      <c r="C21" s="126"/>
      <c r="D21" s="29" t="s">
        <v>174</v>
      </c>
      <c r="E21" s="30" t="s">
        <v>191</v>
      </c>
      <c r="F21" s="31">
        <v>7</v>
      </c>
      <c r="G21" s="26">
        <f t="shared" si="2"/>
        <v>46367</v>
      </c>
      <c r="H21" s="26">
        <f>G21+F21-1</f>
        <v>46373</v>
      </c>
      <c r="I21" s="32">
        <v>0</v>
      </c>
      <c r="J21" s="40" t="s">
        <v>123</v>
      </c>
    </row>
    <row r="22" spans="1:10" x14ac:dyDescent="0.25">
      <c r="A22" s="119" t="s">
        <v>6</v>
      </c>
      <c r="B22" s="120" t="s">
        <v>175</v>
      </c>
      <c r="C22" s="29" t="s">
        <v>176</v>
      </c>
      <c r="D22" s="29" t="s">
        <v>178</v>
      </c>
      <c r="E22" s="30" t="s">
        <v>191</v>
      </c>
      <c r="F22" s="31">
        <v>7</v>
      </c>
      <c r="G22" s="26">
        <f t="shared" si="2"/>
        <v>46374</v>
      </c>
      <c r="H22" s="26">
        <f t="shared" si="0"/>
        <v>46380</v>
      </c>
      <c r="I22" s="32">
        <v>0</v>
      </c>
      <c r="J22" s="40" t="s">
        <v>123</v>
      </c>
    </row>
    <row r="23" spans="1:10" x14ac:dyDescent="0.25">
      <c r="A23" s="119"/>
      <c r="B23" s="120"/>
      <c r="C23" s="29" t="s">
        <v>177</v>
      </c>
      <c r="D23" s="29" t="s">
        <v>179</v>
      </c>
      <c r="E23" s="30" t="s">
        <v>191</v>
      </c>
      <c r="F23" s="31">
        <v>7</v>
      </c>
      <c r="G23" s="26">
        <f t="shared" si="2"/>
        <v>46381</v>
      </c>
      <c r="H23" s="26">
        <f t="shared" si="0"/>
        <v>46387</v>
      </c>
      <c r="I23" s="32">
        <v>0</v>
      </c>
      <c r="J23" s="40" t="s">
        <v>123</v>
      </c>
    </row>
    <row r="24" spans="1:10" x14ac:dyDescent="0.25">
      <c r="A24" s="119" t="s">
        <v>180</v>
      </c>
      <c r="B24" s="121" t="s">
        <v>181</v>
      </c>
      <c r="C24" s="29" t="s">
        <v>182</v>
      </c>
      <c r="D24" s="29" t="s">
        <v>183</v>
      </c>
      <c r="E24" s="30" t="s">
        <v>194</v>
      </c>
      <c r="F24" s="31">
        <v>7</v>
      </c>
      <c r="G24" s="26">
        <f t="shared" si="2"/>
        <v>46388</v>
      </c>
      <c r="H24" s="26">
        <f t="shared" si="0"/>
        <v>46394</v>
      </c>
      <c r="I24" s="32">
        <v>0</v>
      </c>
      <c r="J24" s="40" t="s">
        <v>123</v>
      </c>
    </row>
    <row r="25" spans="1:10" x14ac:dyDescent="0.25">
      <c r="A25" s="119"/>
      <c r="B25" s="121"/>
      <c r="C25" s="27"/>
      <c r="D25" s="29" t="s">
        <v>184</v>
      </c>
      <c r="E25" s="30" t="s">
        <v>191</v>
      </c>
      <c r="F25" s="31">
        <v>8</v>
      </c>
      <c r="G25" s="26">
        <f t="shared" si="2"/>
        <v>46395</v>
      </c>
      <c r="H25" s="26">
        <f t="shared" si="0"/>
        <v>46402</v>
      </c>
      <c r="I25" s="32">
        <v>0</v>
      </c>
      <c r="J25" s="40" t="s">
        <v>123</v>
      </c>
    </row>
    <row r="26" spans="1:10" x14ac:dyDescent="0.25">
      <c r="A26" s="119" t="s">
        <v>185</v>
      </c>
      <c r="B26" s="123" t="s">
        <v>186</v>
      </c>
      <c r="C26" s="29" t="s">
        <v>187</v>
      </c>
      <c r="D26" s="29" t="s">
        <v>190</v>
      </c>
      <c r="E26" s="30" t="s">
        <v>195</v>
      </c>
      <c r="F26" s="31">
        <v>5</v>
      </c>
      <c r="G26" s="26">
        <f t="shared" si="2"/>
        <v>46403</v>
      </c>
      <c r="H26" s="26">
        <f t="shared" si="0"/>
        <v>46407</v>
      </c>
      <c r="I26" s="32">
        <v>0</v>
      </c>
      <c r="J26" s="40" t="s">
        <v>123</v>
      </c>
    </row>
    <row r="27" spans="1:10" x14ac:dyDescent="0.25">
      <c r="A27" s="122"/>
      <c r="B27" s="124"/>
      <c r="C27" s="56" t="s">
        <v>188</v>
      </c>
      <c r="D27" s="56" t="s">
        <v>189</v>
      </c>
      <c r="E27" s="57" t="s">
        <v>196</v>
      </c>
      <c r="F27" s="58">
        <v>3</v>
      </c>
      <c r="G27" s="43">
        <f t="shared" si="2"/>
        <v>46408</v>
      </c>
      <c r="H27" s="43">
        <f t="shared" si="0"/>
        <v>46410</v>
      </c>
      <c r="I27" s="59">
        <v>0</v>
      </c>
      <c r="J27" s="45" t="s">
        <v>123</v>
      </c>
    </row>
    <row r="28" spans="1:10" x14ac:dyDescent="0.25">
      <c r="I28" s="128"/>
      <c r="J28" s="129"/>
    </row>
    <row r="29" spans="1:10" x14ac:dyDescent="0.25">
      <c r="I29" s="128"/>
      <c r="J29" s="129"/>
    </row>
    <row r="30" spans="1:10" x14ac:dyDescent="0.25">
      <c r="I30" s="6"/>
    </row>
    <row r="31" spans="1:10" x14ac:dyDescent="0.25">
      <c r="I31" s="6"/>
    </row>
    <row r="32" spans="1:10" x14ac:dyDescent="0.25">
      <c r="I32" s="6"/>
    </row>
    <row r="33" spans="9:10" x14ac:dyDescent="0.25">
      <c r="I33" s="6"/>
    </row>
    <row r="34" spans="9:10" x14ac:dyDescent="0.25">
      <c r="I34" s="6"/>
    </row>
    <row r="35" spans="9:10" x14ac:dyDescent="0.25">
      <c r="I35" s="6"/>
    </row>
    <row r="36" spans="9:10" x14ac:dyDescent="0.25">
      <c r="I36" s="130"/>
      <c r="J36" s="129"/>
    </row>
    <row r="37" spans="9:10" x14ac:dyDescent="0.25">
      <c r="I37" s="130"/>
      <c r="J37" s="129"/>
    </row>
  </sheetData>
  <mergeCells count="29">
    <mergeCell ref="I28:I29"/>
    <mergeCell ref="J28:J29"/>
    <mergeCell ref="I36:I37"/>
    <mergeCell ref="J36:J37"/>
    <mergeCell ref="A7:A8"/>
    <mergeCell ref="B7:B8"/>
    <mergeCell ref="A9:A10"/>
    <mergeCell ref="B9:B10"/>
    <mergeCell ref="A11:A12"/>
    <mergeCell ref="B11:B12"/>
    <mergeCell ref="A13:A14"/>
    <mergeCell ref="B13:B14"/>
    <mergeCell ref="A15:A16"/>
    <mergeCell ref="B15:B16"/>
    <mergeCell ref="A26:A27"/>
    <mergeCell ref="B26:B27"/>
    <mergeCell ref="A17:A19"/>
    <mergeCell ref="B17:B19"/>
    <mergeCell ref="C17:C19"/>
    <mergeCell ref="A20:A21"/>
    <mergeCell ref="B20:B21"/>
    <mergeCell ref="C20:C21"/>
    <mergeCell ref="A1:G1"/>
    <mergeCell ref="A22:A23"/>
    <mergeCell ref="B22:B23"/>
    <mergeCell ref="B24:B25"/>
    <mergeCell ref="A24:A25"/>
    <mergeCell ref="A2:B2"/>
    <mergeCell ref="A3:B3"/>
  </mergeCells>
  <conditionalFormatting sqref="C7:I27">
    <cfRule type="expression" dxfId="6" priority="2">
      <formula>MOD(ROW(),2)=0</formula>
    </cfRule>
  </conditionalFormatting>
  <conditionalFormatting sqref="J7:J37">
    <cfRule type="containsText" dxfId="5" priority="4" operator="containsText" text="Chậm tiến độ">
      <formula>NOT(ISERROR(SEARCH("Chậm tiến độ",J7)))</formula>
    </cfRule>
    <cfRule type="containsText" dxfId="4" priority="5" operator="containsText" text="Đang triển khai">
      <formula>NOT(ISERROR(SEARCH("Đang triển khai",J7)))</formula>
    </cfRule>
    <cfRule type="containsText" dxfId="3" priority="6" operator="containsText" text="Hoàn thành">
      <formula>NOT(ISERROR(SEARCH("Hoàn thành",J7)))</formula>
    </cfRule>
    <cfRule type="containsText" dxfId="2" priority="7" operator="containsText" text="Chưa bắt đầu">
      <formula>NOT(ISERROR(SEARCH("Chưa bắt đầu",J7)))</formula>
    </cfRule>
  </conditionalFormatting>
  <dataValidations count="1">
    <dataValidation type="list" allowBlank="1" showInputMessage="1" showErrorMessage="1" sqref="J7:J37" xr:uid="{FFBD9FED-43D4-4890-9D1B-F8C8F94545C5}">
      <formula1>"Chưa bắt đầu, Đang triển khai, Hoàn thành, Chậm tiến độ"</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A509B-F479-4D10-A729-8151A08AA23E}">
  <dimension ref="A1:F21"/>
  <sheetViews>
    <sheetView workbookViewId="0">
      <selection activeCell="C8" sqref="C8"/>
    </sheetView>
  </sheetViews>
  <sheetFormatPr defaultRowHeight="15" x14ac:dyDescent="0.25"/>
  <cols>
    <col min="1" max="1" width="6.28515625" style="7" customWidth="1"/>
    <col min="2" max="2" width="20.85546875" style="7" customWidth="1"/>
    <col min="3" max="3" width="53.5703125" style="7" customWidth="1"/>
    <col min="4" max="4" width="20.42578125" style="7" customWidth="1"/>
    <col min="5" max="5" width="23" style="7" customWidth="1"/>
    <col min="6" max="6" width="52.28515625" style="7" customWidth="1"/>
    <col min="7" max="16384" width="9.140625" style="7"/>
  </cols>
  <sheetData>
    <row r="1" spans="1:6" ht="18" x14ac:dyDescent="0.25">
      <c r="A1" s="131" t="s">
        <v>199</v>
      </c>
      <c r="B1" s="131"/>
      <c r="C1" s="131"/>
      <c r="D1" s="131"/>
      <c r="E1" s="131"/>
      <c r="F1" s="131"/>
    </row>
    <row r="2" spans="1:6" x14ac:dyDescent="0.25">
      <c r="A2" s="132" t="s">
        <v>228</v>
      </c>
      <c r="B2" s="132"/>
      <c r="C2" s="132"/>
      <c r="D2" s="132"/>
      <c r="E2" s="132"/>
      <c r="F2" s="132"/>
    </row>
    <row r="4" spans="1:6" x14ac:dyDescent="0.25">
      <c r="A4" s="68" t="s">
        <v>200</v>
      </c>
      <c r="B4" s="69" t="s">
        <v>201</v>
      </c>
      <c r="C4" s="69" t="s">
        <v>202</v>
      </c>
      <c r="D4" s="69" t="s">
        <v>51</v>
      </c>
      <c r="E4" s="69" t="s">
        <v>203</v>
      </c>
      <c r="F4" s="70" t="s">
        <v>30</v>
      </c>
    </row>
    <row r="5" spans="1:6" ht="51" x14ac:dyDescent="0.25">
      <c r="A5" s="71">
        <v>1</v>
      </c>
      <c r="B5" s="35" t="s">
        <v>204</v>
      </c>
      <c r="C5" s="35" t="s">
        <v>205</v>
      </c>
      <c r="D5" s="35" t="s">
        <v>206</v>
      </c>
      <c r="E5" s="35" t="s">
        <v>207</v>
      </c>
      <c r="F5" s="72" t="s">
        <v>208</v>
      </c>
    </row>
    <row r="6" spans="1:6" ht="38.25" x14ac:dyDescent="0.25">
      <c r="A6" s="71">
        <v>2</v>
      </c>
      <c r="B6" s="35" t="s">
        <v>209</v>
      </c>
      <c r="C6" s="35" t="s">
        <v>210</v>
      </c>
      <c r="D6" s="35" t="s">
        <v>211</v>
      </c>
      <c r="E6" s="35" t="s">
        <v>212</v>
      </c>
      <c r="F6" s="72" t="s">
        <v>213</v>
      </c>
    </row>
    <row r="7" spans="1:6" ht="51" x14ac:dyDescent="0.25">
      <c r="A7" s="71">
        <v>3</v>
      </c>
      <c r="B7" s="35" t="s">
        <v>214</v>
      </c>
      <c r="C7" s="35" t="s">
        <v>215</v>
      </c>
      <c r="D7" s="35" t="s">
        <v>211</v>
      </c>
      <c r="E7" s="35" t="s">
        <v>216</v>
      </c>
      <c r="F7" s="72" t="s">
        <v>217</v>
      </c>
    </row>
    <row r="8" spans="1:6" ht="38.25" x14ac:dyDescent="0.25">
      <c r="A8" s="71">
        <v>4</v>
      </c>
      <c r="B8" s="35" t="s">
        <v>218</v>
      </c>
      <c r="C8" s="35" t="s">
        <v>219</v>
      </c>
      <c r="D8" s="35" t="s">
        <v>220</v>
      </c>
      <c r="E8" s="35" t="s">
        <v>221</v>
      </c>
      <c r="F8" s="72" t="s">
        <v>222</v>
      </c>
    </row>
    <row r="9" spans="1:6" ht="51" x14ac:dyDescent="0.25">
      <c r="A9" s="73">
        <v>5</v>
      </c>
      <c r="B9" s="66" t="s">
        <v>223</v>
      </c>
      <c r="C9" s="74" t="s">
        <v>224</v>
      </c>
      <c r="D9" s="66" t="s">
        <v>225</v>
      </c>
      <c r="E9" s="66" t="s">
        <v>226</v>
      </c>
      <c r="F9" s="75" t="s">
        <v>227</v>
      </c>
    </row>
    <row r="12" spans="1:6" ht="18" x14ac:dyDescent="0.25">
      <c r="A12" s="133" t="s">
        <v>229</v>
      </c>
      <c r="B12" s="133"/>
      <c r="C12" s="133"/>
      <c r="D12" s="133"/>
    </row>
    <row r="13" spans="1:6" x14ac:dyDescent="0.25">
      <c r="A13" s="132" t="s">
        <v>230</v>
      </c>
      <c r="B13" s="132"/>
      <c r="C13" s="132"/>
      <c r="D13" s="132"/>
    </row>
    <row r="15" spans="1:6" ht="30" x14ac:dyDescent="0.25">
      <c r="A15" s="60" t="s">
        <v>200</v>
      </c>
      <c r="B15" s="61" t="s">
        <v>231</v>
      </c>
      <c r="C15" s="61" t="s">
        <v>232</v>
      </c>
      <c r="D15" s="62" t="s">
        <v>2</v>
      </c>
    </row>
    <row r="16" spans="1:6" ht="38.25" x14ac:dyDescent="0.25">
      <c r="A16" s="63">
        <v>1</v>
      </c>
      <c r="B16" s="35" t="s">
        <v>233</v>
      </c>
      <c r="C16" s="35" t="s">
        <v>234</v>
      </c>
      <c r="D16" s="64" t="s">
        <v>245</v>
      </c>
    </row>
    <row r="17" spans="1:4" ht="25.5" x14ac:dyDescent="0.25">
      <c r="A17" s="63">
        <v>2</v>
      </c>
      <c r="B17" s="35" t="s">
        <v>235</v>
      </c>
      <c r="C17" s="35" t="s">
        <v>236</v>
      </c>
      <c r="D17" s="64" t="s">
        <v>245</v>
      </c>
    </row>
    <row r="18" spans="1:4" ht="25.5" x14ac:dyDescent="0.25">
      <c r="A18" s="63">
        <v>3</v>
      </c>
      <c r="B18" s="35" t="s">
        <v>237</v>
      </c>
      <c r="C18" s="35" t="s">
        <v>238</v>
      </c>
      <c r="D18" s="64" t="s">
        <v>245</v>
      </c>
    </row>
    <row r="19" spans="1:4" ht="38.25" x14ac:dyDescent="0.25">
      <c r="A19" s="63">
        <v>4</v>
      </c>
      <c r="B19" s="35" t="s">
        <v>239</v>
      </c>
      <c r="C19" s="35" t="s">
        <v>240</v>
      </c>
      <c r="D19" s="64" t="s">
        <v>245</v>
      </c>
    </row>
    <row r="20" spans="1:4" ht="25.5" x14ac:dyDescent="0.25">
      <c r="A20" s="63">
        <v>5</v>
      </c>
      <c r="B20" s="35" t="s">
        <v>241</v>
      </c>
      <c r="C20" s="35" t="s">
        <v>242</v>
      </c>
      <c r="D20" s="64" t="s">
        <v>245</v>
      </c>
    </row>
    <row r="21" spans="1:4" ht="25.5" x14ac:dyDescent="0.25">
      <c r="A21" s="65">
        <v>6</v>
      </c>
      <c r="B21" s="66" t="s">
        <v>243</v>
      </c>
      <c r="C21" s="66" t="s">
        <v>244</v>
      </c>
      <c r="D21" s="67" t="s">
        <v>245</v>
      </c>
    </row>
  </sheetData>
  <mergeCells count="4">
    <mergeCell ref="A1:F1"/>
    <mergeCell ref="A2:F2"/>
    <mergeCell ref="A12:D12"/>
    <mergeCell ref="A13:D13"/>
  </mergeCells>
  <conditionalFormatting sqref="A16:D21">
    <cfRule type="expression" dxfId="1" priority="2">
      <formula>MOD(ROW(),2)=0</formula>
    </cfRule>
  </conditionalFormatting>
  <conditionalFormatting sqref="A5:F9">
    <cfRule type="expression" dxfId="0" priority="1">
      <formula>MOD(ROW(),2)=0</formula>
    </cfRule>
  </conditionalFormatting>
  <dataValidations count="1">
    <dataValidation type="list" allowBlank="1" showInputMessage="1" showErrorMessage="1" sqref="D16:D21" xr:uid="{547BCF8B-8AF2-49F5-87BB-4968AF55327D}">
      <formula1>"Hoàn thành, Chưa hoàn thành"</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TỔNG QUAN</vt:lpstr>
      <vt:lpstr>MASTER PLAN</vt:lpstr>
      <vt:lpstr>SPRINT PLAN</vt:lpstr>
      <vt:lpstr>Tiêu chí nghiệm thu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 Nguyễn</dc:creator>
  <cp:lastModifiedBy>Mai Nguyễn</cp:lastModifiedBy>
  <dcterms:created xsi:type="dcterms:W3CDTF">2026-07-13T12:39:09Z</dcterms:created>
  <dcterms:modified xsi:type="dcterms:W3CDTF">2026-07-14T08:52:17Z</dcterms:modified>
</cp:coreProperties>
</file>