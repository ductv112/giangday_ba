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4"/>
    <sheet state="visible" name="Master Plan" sheetId="2" r:id="rId5"/>
    <sheet state="visible" name="Sprint Plan" sheetId="3" r:id="rId6"/>
    <sheet state="visible" name="Tài liệu dự án" sheetId="4" r:id="rId7"/>
    <sheet state="visible" name="Bàn giao-Nghiệm thu" sheetId="5" r:id="rId8"/>
  </sheets>
  <definedNames>
    <definedName hidden="1" localSheetId="2" name="_xlnm._FilterDatabase">'Sprint Plan'!$A$15:$G$44</definedName>
    <definedName hidden="1" localSheetId="3" name="_xlnm._FilterDatabase">'Tài liệu dự án'!$A$3:$J$21</definedName>
    <definedName hidden="1" localSheetId="4" name="_xlnm._FilterDatabase">'Bàn giao-Nghiệm thu'!$A$3:$H$11</definedName>
  </definedNames>
  <calcPr/>
  <extLst>
    <ext uri="GoogleSheetsCustomDataVersion2">
      <go:sheetsCustomData xmlns:go="http://customooxmlschemas.google.com/" r:id="rId9" roundtripDataChecksum="IaUVlDPzpGkVFi7/lwHj9mYE5kqqyFMMsFpXTtTgpu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ID#AAACA7eE1yg
Unknown Author    (2026-07-11 23:42:28)
Ô nhập liệu duy nhất: thay đổi ngày này sẽ tự động dịch chuyển toàn bộ Master Plan &amp; Sprint Plan.</t>
      </text>
    </comment>
  </commentList>
  <extLst>
    <ext uri="GoogleSheetsCustomDataVersion2">
      <go:sheetsCustomData xmlns:go="http://customooxmlschemas.google.com/" r:id="rId1" roundtripDataSignature="AMtx7mgr78dWlw+JdQwAALwkWjhlghtNxQ=="/>
    </ext>
  </extLst>
</comments>
</file>

<file path=xl/sharedStrings.xml><?xml version="1.0" encoding="utf-8"?>
<sst xmlns="http://schemas.openxmlformats.org/spreadsheetml/2006/main" count="594" uniqueCount="311">
  <si>
    <t>MASTER PLAN DỰ ÁN
HẢI ANH HOMECARE</t>
  </si>
  <si>
    <t>Tên dự án: Hệ thống Điện máy Hải Anh</t>
  </si>
  <si>
    <t>Loại hình: Web App + Mobile App (Khách hàng / Kỹ thuật viên / Quản trị)</t>
  </si>
  <si>
    <t>Phương pháp triển khai: Waterfall (Khảo sát-Thiết kế-Tài liệu-Chuyển giao) kết hợp Agile Scrum (giai đoạn Phát triển)</t>
  </si>
  <si>
    <t>BA phụ trách: Thiều Thị Thúy</t>
  </si>
  <si>
    <t>PM phụ trách: Nguyễn Văn Đức</t>
  </si>
  <si>
    <t>Ngày bắt đầu dự án (Input)</t>
  </si>
  <si>
    <t>Ngày kết thúc dự kiến (tự động)</t>
  </si>
  <si>
    <t>Tổng số ngày dự án (lịch)</t>
  </si>
  <si>
    <t>TỔNG QUAN CÁC GIAI ĐOẠN DỰ ÁN</t>
  </si>
  <si>
    <t>#</t>
  </si>
  <si>
    <t>Giai đoạn</t>
  </si>
  <si>
    <t>Số ngày (lịch)</t>
  </si>
  <si>
    <t>Bắt đầu</t>
  </si>
  <si>
    <t>Kết thúc</t>
  </si>
  <si>
    <t>Tỷ trọng</t>
  </si>
  <si>
    <t>1. KHỞI TẠO &amp; KHẢO SÁT</t>
  </si>
  <si>
    <t>2. PHÂN TÍCH &amp; THIẾT KẾ</t>
  </si>
  <si>
    <t>3. LẬP TÀI LIỆU</t>
  </si>
  <si>
    <t>4. XÁC NHẬN TÀI LIỆU</t>
  </si>
  <si>
    <t>5. KICKOFF DỰ ÁN PHÁT TRIỂN</t>
  </si>
  <si>
    <t>6. CHUYỂN GIAO (TRANSFER)</t>
  </si>
  <si>
    <t>7. PHÁT TRIỂN HỆ THỐNG (AGILE - XEM SHEET SPRINT PLAN)</t>
  </si>
  <si>
    <t>8. KIỂM THỬ TỔNG THỂ (SIT/UAT)</t>
  </si>
  <si>
    <t>9. BÀN GIAO (HANDOVER)</t>
  </si>
  <si>
    <t>10. NGHIỆM THU (ACCEPTANCE)</t>
  </si>
  <si>
    <t>11. BẢO HÀNH &amp; HỖ TRỢ SAU DỰ ÁN</t>
  </si>
  <si>
    <t>Ghi chú: Đổi ô B11 (ngày bắt đầu) sẽ tự động cập nhật toàn bộ lịch trình ở sheet 'Master Plan' và 'Sprint Plan'. Số ngày ở cột 'Số ngày (lịch)' của Master Plan là ô nhập liệu (màu vàng) — có thể điều chỉnh theo thực tế.</t>
  </si>
  <si>
    <t>MASTER PLAN — DỰ ÁN HỆ THỐNG ĐẶT LỊCH HẸN &amp; QUẢN LÝ SỬA CHỮA ĐIỆN TỬ - ĐIỆN LẠNH</t>
  </si>
  <si>
    <t>Ngày bắt đầu dự án (liên kết từ sheet Tổng quan):</t>
  </si>
  <si>
    <t>STT</t>
  </si>
  <si>
    <t>Hạng mục công việc</t>
  </si>
  <si>
    <t>Ngày bắt đầu</t>
  </si>
  <si>
    <t>Số ngày
(lịch)</t>
  </si>
  <si>
    <t>Ngày kết thúc</t>
  </si>
  <si>
    <t>Phụ trách</t>
  </si>
  <si>
    <t>Kết quả bàn giao</t>
  </si>
  <si>
    <t>Trạng thái</t>
  </si>
  <si>
    <t>% Hoàn
thành</t>
  </si>
  <si>
    <t>Ghi chú</t>
  </si>
  <si>
    <t>Thu thập yêu cầu ban đầu từ khách hàng</t>
  </si>
  <si>
    <t>BA</t>
  </si>
  <si>
    <t>Biên bản họp yêu cầu</t>
  </si>
  <si>
    <t>Chưa bắt đầu</t>
  </si>
  <si>
    <t>Khảo sát hiện trạng &amp; quy trình vận hành sửa chữa</t>
  </si>
  <si>
    <t>Báo cáo khảo sát hiện trạng</t>
  </si>
  <si>
    <t>Lập báo cáo khảo sát tổng hợp</t>
  </si>
  <si>
    <t>Báo cáo khảo sát (Survey Report)</t>
  </si>
  <si>
    <t>Phân tích nghiệp vụ, xây dựng BRD</t>
  </si>
  <si>
    <t>BRD</t>
  </si>
  <si>
    <t>Thiết kế UI/UX (wireframe, mockup)</t>
  </si>
  <si>
    <t>UI/UX Designer</t>
  </si>
  <si>
    <t>Wireframe &amp; Mockup</t>
  </si>
  <si>
    <t>Thiết kế kiến trúc hệ thống &amp; CSDL</t>
  </si>
  <si>
    <t>Kiến trúc sư (SA)</t>
  </si>
  <si>
    <t>Tài liệu kiến trúc &amp; DB Design</t>
  </si>
  <si>
    <t>Thiết kế API &amp; tích hợp (thanh toán, SMS/notification)</t>
  </si>
  <si>
    <t>Tài liệu đặc tả API</t>
  </si>
  <si>
    <t>Soạn thảo SRS (Software Requirement Spec)</t>
  </si>
  <si>
    <t>SRS</t>
  </si>
  <si>
    <t>Soạn thảo tài liệu thiết kế kỹ thuật (TDD)</t>
  </si>
  <si>
    <t>SA/Dev Lead</t>
  </si>
  <si>
    <t>Technical Design Document</t>
  </si>
  <si>
    <t>Soạn thảo Test Plan &amp; Test Case tổng thể</t>
  </si>
  <si>
    <t>QA Lead</t>
  </si>
  <si>
    <t>Test Plan tổng thể</t>
  </si>
  <si>
    <t>Gửi tài liệu cho khách hàng review</t>
  </si>
  <si>
    <t>Email/Biên bản gửi tài liệu</t>
  </si>
  <si>
    <t>Họp giải trình &amp; chỉnh sửa theo góp ý</t>
  </si>
  <si>
    <t>BA/SA</t>
  </si>
  <si>
    <t>Biên bản họp góp ý</t>
  </si>
  <si>
    <t>Khách hàng ký duyệt (sign-off) tài liệu</t>
  </si>
  <si>
    <t>Khách hàng/PM</t>
  </si>
  <si>
    <t>Biên bản xác nhận tài liệu</t>
  </si>
  <si>
    <t>Họp kickoff với đội phát triển</t>
  </si>
  <si>
    <t>PM</t>
  </si>
  <si>
    <t>Biên bản kickoff</t>
  </si>
  <si>
    <t>Phân công vai trò &amp; thiết lập công cụ quản lý (Jira/Confluence)</t>
  </si>
  <si>
    <t>Cấu hình công cụ dự án</t>
  </si>
  <si>
    <t>Chuyển giao tài liệu &amp; yêu cầu cho đội Dev/QA</t>
  </si>
  <si>
    <t>BA/PM</t>
  </si>
  <si>
    <t>Biên bản chuyển giao</t>
  </si>
  <si>
    <t>Đào tạo nội bộ về nghiệp vụ cho Dev/QA</t>
  </si>
  <si>
    <t>Slide đào tạo nội bộ</t>
  </si>
  <si>
    <t>Sprint 0 - Chuẩn bị môi trường &amp; Backlog</t>
  </si>
  <si>
    <t>Dev Team/PM</t>
  </si>
  <si>
    <t>Môi trường Dev/Test, Product Backlog</t>
  </si>
  <si>
    <t>Sprint 1 - Quản lý người dùng &amp; phân quyền</t>
  </si>
  <si>
    <t>Dev Team</t>
  </si>
  <si>
    <t>Module User &amp; phân quyền</t>
  </si>
  <si>
    <t>Sprint 2 - Đặt lịch hẹn (Booking)</t>
  </si>
  <si>
    <t>Module đặt lịch hẹn</t>
  </si>
  <si>
    <t>Sprint 3 - Quản lý kỹ thuật viên &amp; phân công</t>
  </si>
  <si>
    <t>Module quản lý KTV &amp; phân công</t>
  </si>
  <si>
    <t>Sprint 4 - Quản lý sửa chữa (tiếp nhận-tình trạng-linh kiện)</t>
  </si>
  <si>
    <t>Module quản lý sửa chữa</t>
  </si>
  <si>
    <t>Sprint 5 - Thanh toán &amp; hóa đơn điện tử</t>
  </si>
  <si>
    <t>Module thanh toán &amp; hóa đơn</t>
  </si>
  <si>
    <t>Sprint 6 - Báo cáo, thống kê &amp; thông báo (notification)</t>
  </si>
  <si>
    <t>Module báo cáo &amp; notification</t>
  </si>
  <si>
    <t>Sprint 7 - Hoàn thiện, sửa lỗi &amp; tối ưu (bug fixing, polish)</t>
  </si>
  <si>
    <t>Build hoàn chỉnh (Release Candidate)</t>
  </si>
  <si>
    <t>Kiểm thử tích hợp hệ thống (SIT)</t>
  </si>
  <si>
    <t>QA Team</t>
  </si>
  <si>
    <t>Báo cáo SIT</t>
  </si>
  <si>
    <t>Kiểm thử chấp nhận người dùng (UAT) cùng khách hàng</t>
  </si>
  <si>
    <t>QA/Khách hàng</t>
  </si>
  <si>
    <t>Báo cáo UAT</t>
  </si>
  <si>
    <t>Sửa lỗi sau UAT</t>
  </si>
  <si>
    <t>Build đã sửa lỗi UAT</t>
  </si>
  <si>
    <t>Triển khai hệ thống lên môi trường Production</t>
  </si>
  <si>
    <t>DevOps/Dev Team</t>
  </si>
  <si>
    <t>Hệ thống live trên Production</t>
  </si>
  <si>
    <t>Bàn giao source code, tài liệu, tài khoản quản trị</t>
  </si>
  <si>
    <t>PM/Dev Team</t>
  </si>
  <si>
    <t>Biên bản bàn giao</t>
  </si>
  <si>
    <t>Đào tạo người dùng cuối (End-user training)</t>
  </si>
  <si>
    <t>BA/Dev Team</t>
  </si>
  <si>
    <t>User Manual</t>
  </si>
  <si>
    <t>Khách hàng kiểm tra nghiệm thu</t>
  </si>
  <si>
    <t>Khách hàng</t>
  </si>
  <si>
    <t>Checklist nghiệm thu</t>
  </si>
  <si>
    <t>Ký biên bản nghiệm thu (Acceptance sign-off)</t>
  </si>
  <si>
    <t>Biên bản nghiệm thu</t>
  </si>
  <si>
    <t>Bảo hành hệ thống &amp; hỗ trợ kỹ thuật sau bàn giao</t>
  </si>
  <si>
    <t>Cam kết bảo hành</t>
  </si>
  <si>
    <t>SPRINT PLAN (AGILE SCRUM) — GIAI ĐOẠN PHÁT TRIỂN HỆ THỐNG</t>
  </si>
  <si>
    <t>Ghi chú: Ngày bắt đầu/kết thúc và Số ngày của từng Sprint được liên kết trực tiếp từ sheet 'Master Plan' (mục 7 - Phát triển hệ thống) để đảm bảo tính nhất quán.</t>
  </si>
  <si>
    <t>Sprint</t>
  </si>
  <si>
    <t>Mục tiêu Sprint / Chức năng chính</t>
  </si>
  <si>
    <t>Số ngày</t>
  </si>
  <si>
    <t>Story Points
(ước lượng)</t>
  </si>
  <si>
    <t>Đội thực hiện</t>
  </si>
  <si>
    <t>Sprint 0</t>
  </si>
  <si>
    <t>Chuẩn bị môi trường Dev/Test/CI-CD &amp; hoàn thiện Product Backlog</t>
  </si>
  <si>
    <t>Sprint 1</t>
  </si>
  <si>
    <t>Quản lý người dùng &amp; phân quyền (Admin/Tổng đài/KTV/Khách hàng)</t>
  </si>
  <si>
    <t>Sprint 2</t>
  </si>
  <si>
    <t>Đặt lịch hẹn (Booking): chọn dịch vụ, khung giờ, xác nhận/hủy/đổi lịch</t>
  </si>
  <si>
    <t>Sprint 3</t>
  </si>
  <si>
    <t>Quản lý kỹ thuật viên &amp; phân công lịch hẹn theo khu vực</t>
  </si>
  <si>
    <t>Sprint 4</t>
  </si>
  <si>
    <t>Quản lý sửa chữa: tiếp nhận thiết bị, tiến độ, kho linh kiện, báo giá</t>
  </si>
  <si>
    <t>Sprint 5</t>
  </si>
  <si>
    <t>Thanh toán &amp; hóa đơn điện tử, tích hợp cổng thanh toán</t>
  </si>
  <si>
    <t>Sprint 6</t>
  </si>
  <si>
    <t>Báo cáo, thống kê, đánh giá khách hàng &amp; thông báo đa kênh</t>
  </si>
  <si>
    <t>Sprint 7</t>
  </si>
  <si>
    <t>Hoàn thiện, sửa lỗi nội bộ, tối ưu hiệu năng &amp; bảo mật</t>
  </si>
  <si>
    <t>CHI TIẾT BACKLOG THEO SPRINT (USER STORIES)</t>
  </si>
  <si>
    <t>Mã US</t>
  </si>
  <si>
    <t>User Story</t>
  </si>
  <si>
    <t>Độ ưu tiên</t>
  </si>
  <si>
    <t>Story
Points</t>
  </si>
  <si>
    <t>Vai trò phụ trách</t>
  </si>
  <si>
    <t>US-000</t>
  </si>
  <si>
    <t>Thiết lập môi trường Dev/Test &amp; CI-CD cơ bản</t>
  </si>
  <si>
    <t>Cao</t>
  </si>
  <si>
    <t>DevOps</t>
  </si>
  <si>
    <t>US-001</t>
  </si>
  <si>
    <t>Chuẩn hóa Product Backlog &amp; Definition of Done</t>
  </si>
  <si>
    <t>PM/BA</t>
  </si>
  <si>
    <t>US-101</t>
  </si>
  <si>
    <t>Đăng ký tài khoản khách hàng (email/SĐT/OTP)</t>
  </si>
  <si>
    <t>US-102</t>
  </si>
  <si>
    <t>Đăng nhập / Quên mật khẩu</t>
  </si>
  <si>
    <t>US-103</t>
  </si>
  <si>
    <t>Phân quyền Admin - Tổng đài - Kỹ thuật viên - Khách hàng</t>
  </si>
  <si>
    <t>US-104</t>
  </si>
  <si>
    <t>Quản lý hồ sơ khách hàng &amp; lịch sử thiết bị đã sửa</t>
  </si>
  <si>
    <t>Trung bình</t>
  </si>
  <si>
    <t>US-201</t>
  </si>
  <si>
    <t>Khách hàng chọn dịch vụ &amp; loại thiết bị (điện tử/điện lạnh)</t>
  </si>
  <si>
    <t>US-202</t>
  </si>
  <si>
    <t>Chọn khung giờ hẹn theo lịch trống của khu vực</t>
  </si>
  <si>
    <t>US-203</t>
  </si>
  <si>
    <t>Xác nhận / Hủy / Đổi lịch hẹn</t>
  </si>
  <si>
    <t>US-204</t>
  </si>
  <si>
    <t>Nhắc lịch hẹn qua SMS/Push notification</t>
  </si>
  <si>
    <t>US-301</t>
  </si>
  <si>
    <t>Quản lý danh sách kỹ thuật viên &amp; khu vực phụ trách</t>
  </si>
  <si>
    <t>US-302</t>
  </si>
  <si>
    <t>Tự động phân công kỹ thuật viên theo lịch hẹn &amp; khu vực</t>
  </si>
  <si>
    <t>US-303</t>
  </si>
  <si>
    <t>Kỹ thuật viên xem lịch làm việc trên app</t>
  </si>
  <si>
    <t>US-304</t>
  </si>
  <si>
    <t>Theo dõi trạng thái di chuyển của kỹ thuật viên (tùy chọn GPS)</t>
  </si>
  <si>
    <t>Thấp</t>
  </si>
  <si>
    <t>US-401</t>
  </si>
  <si>
    <t>Tiếp nhận thiết bị &amp; ghi nhận tình trạng lỗi</t>
  </si>
  <si>
    <t>US-402</t>
  </si>
  <si>
    <t>Cập nhật tiến độ sửa chữa (kiểm tra/chờ linh kiện/hoàn tất)</t>
  </si>
  <si>
    <t>US-403</t>
  </si>
  <si>
    <t>Quản lý kho linh kiện thay thế</t>
  </si>
  <si>
    <t>US-404</t>
  </si>
  <si>
    <t>Báo giá sửa chữa &amp; khách hàng duyệt báo giá</t>
  </si>
  <si>
    <t>US-501</t>
  </si>
  <si>
    <t>Tạo hóa đơn điện tử sau khi hoàn tất sửa chữa</t>
  </si>
  <si>
    <t>US-502</t>
  </si>
  <si>
    <t>Tích hợp cổng thanh toán (VNPay/Momo/Chuyển khoản)</t>
  </si>
  <si>
    <t>US-503</t>
  </si>
  <si>
    <t>Quản lý công nợ &amp; lịch sử thanh toán</t>
  </si>
  <si>
    <t>US-504</t>
  </si>
  <si>
    <t>Xuất báo cáo doanh thu theo kỳ</t>
  </si>
  <si>
    <t>US-601</t>
  </si>
  <si>
    <t>Dashboard thống kê lịch hẹn/doanh thu/kỹ thuật viên</t>
  </si>
  <si>
    <t>US-602</t>
  </si>
  <si>
    <t>Báo cáo hiệu suất kỹ thuật viên</t>
  </si>
  <si>
    <t>US-603</t>
  </si>
  <si>
    <t>Đánh giá &amp; phản hồi của khách hàng (rating)</t>
  </si>
  <si>
    <t>US-604</t>
  </si>
  <si>
    <t>Thông báo đẩy (push notification) đa kênh</t>
  </si>
  <si>
    <t>US-701</t>
  </si>
  <si>
    <t>Sửa lỗi phát sinh từ kiểm thử nội bộ</t>
  </si>
  <si>
    <t>US-702</t>
  </si>
  <si>
    <t>Tối ưu hiệu năng &amp; bảo mật hệ thống</t>
  </si>
  <si>
    <t>US-703</t>
  </si>
  <si>
    <t>Chuẩn bị dữ liệu demo &amp; môi trường cho UAT</t>
  </si>
  <si>
    <t>Tổng Story Points toàn dự án (SUM cột Story Points của backlog):</t>
  </si>
  <si>
    <t>DANH SÁCH TÀI LIỆU DỰ ÁN &amp; TRẠNG THÁI XÁC NHẬN (SIGN-OFF)</t>
  </si>
  <si>
    <t>Mã TL</t>
  </si>
  <si>
    <t>Tên tài liệu</t>
  </si>
  <si>
    <t>Giai đoạn liên quan</t>
  </si>
  <si>
    <t>Người phụ trách</t>
  </si>
  <si>
    <t>Ngày hoàn thành
dự kiến</t>
  </si>
  <si>
    <t>Ngày xác nhận
(Sign-off)</t>
  </si>
  <si>
    <t>Người xác nhận</t>
  </si>
  <si>
    <t>Phiên bản</t>
  </si>
  <si>
    <t>TL-01</t>
  </si>
  <si>
    <t>Báo cáo khảo sát hiện trạng (Survey Report)</t>
  </si>
  <si>
    <t>1. Khởi tạo &amp; Khảo sát</t>
  </si>
  <si>
    <t>v1.0</t>
  </si>
  <si>
    <t>TL-02</t>
  </si>
  <si>
    <t>BRD - Business Requirement Document</t>
  </si>
  <si>
    <t>2. Phân tích &amp; Thiết kế</t>
  </si>
  <si>
    <t>TL-03</t>
  </si>
  <si>
    <t>Wireframe / Mockup UI-UX</t>
  </si>
  <si>
    <t>TL-04</t>
  </si>
  <si>
    <t>Tài liệu kiến trúc hệ thống &amp; thiết kế CSDL</t>
  </si>
  <si>
    <t>TL-05</t>
  </si>
  <si>
    <t>Tài liệu đặc tả API (API Specification)</t>
  </si>
  <si>
    <t>TL-06</t>
  </si>
  <si>
    <t>SRS - Software Requirement Specification</t>
  </si>
  <si>
    <t>3. Lập tài liệu</t>
  </si>
  <si>
    <t>TL-07</t>
  </si>
  <si>
    <t>TDD - Technical Design Document</t>
  </si>
  <si>
    <t>TL-08</t>
  </si>
  <si>
    <t>Test Plan &amp; Test Case tổng thể</t>
  </si>
  <si>
    <t>TL-09</t>
  </si>
  <si>
    <t>Biên bản xác nhận tài liệu (Sign-off)</t>
  </si>
  <si>
    <t>4. Xác nhận tài liệu</t>
  </si>
  <si>
    <t>TL-10</t>
  </si>
  <si>
    <t>Biên bản kickoff dự án phát triển</t>
  </si>
  <si>
    <t>5. Kickoff dự án phát triển</t>
  </si>
  <si>
    <t>TL-11</t>
  </si>
  <si>
    <t>Biên bản chuyển giao tài liệu cho Dev/QA</t>
  </si>
  <si>
    <t>6. Chuyển giao (Transfer)</t>
  </si>
  <si>
    <t>TL-12</t>
  </si>
  <si>
    <t>Báo cáo kiểm thử tích hợp hệ thống (SIT)</t>
  </si>
  <si>
    <t>8. Kiểm thử tổng thể</t>
  </si>
  <si>
    <t>TL-13</t>
  </si>
  <si>
    <t>Báo cáo kiểm thử chấp nhận (UAT)</t>
  </si>
  <si>
    <t>TL-14</t>
  </si>
  <si>
    <t>User Manual - Hướng dẫn sử dụng</t>
  </si>
  <si>
    <t>9. Bàn giao (Handover)</t>
  </si>
  <si>
    <t>TL-15</t>
  </si>
  <si>
    <t>Tài liệu hướng dẫn vận hành &amp; triển khai (Deployment Guide)</t>
  </si>
  <si>
    <t>TL-16</t>
  </si>
  <si>
    <t>Biên bản bàn giao (source code, tài khoản quản trị)</t>
  </si>
  <si>
    <t>TL-17</t>
  </si>
  <si>
    <t>Biên bản nghiệm thu (Acceptance Report)</t>
  </si>
  <si>
    <t>10. Nghiệm thu (Acceptance)</t>
  </si>
  <si>
    <t>TL-18</t>
  </si>
  <si>
    <t>Cam kết/Hợp đồng bảo hành &amp; hỗ trợ sau bàn giao</t>
  </si>
  <si>
    <t>11. Bảo hành &amp; hỗ trợ</t>
  </si>
  <si>
    <t>CHECKLIST BÀN GIAO &amp; NGHIỆM THU DỰ ÁN</t>
  </si>
  <si>
    <t>Hạng mục bàn giao</t>
  </si>
  <si>
    <t>Mô tả chi tiết</t>
  </si>
  <si>
    <t>Điều kiện nghiệm thu
(Acceptance Criteria)</t>
  </si>
  <si>
    <t>Người phụ trách bàn giao</t>
  </si>
  <si>
    <t>Người nghiệm thu
(Khách hàng)</t>
  </si>
  <si>
    <t>Ngày ký xác nhận</t>
  </si>
  <si>
    <t>Mã nguồn hệ thống (Source Code)</t>
  </si>
  <si>
    <t>Toàn bộ source code Frontend/Backend, có quản lý phiên bản (Git)</t>
  </si>
  <si>
    <t>Source code chạy được, có tài liệu README, bàn giao qua Git repository</t>
  </si>
  <si>
    <t>Chưa thực hiện</t>
  </si>
  <si>
    <t>Tài liệu kỹ thuật &amp; vận hành</t>
  </si>
  <si>
    <t>TDD, API Spec, Deployment Guide, sơ đồ CSDL</t>
  </si>
  <si>
    <t>Đầy đủ tài liệu, khớp với hệ thống thực tế đã triển khai</t>
  </si>
  <si>
    <t>Tài khoản quản trị hệ thống</t>
  </si>
  <si>
    <t>Tài khoản Admin, tài khoản hạ tầng/server, tài khoản dịch vụ bên thứ 3</t>
  </si>
  <si>
    <t>Bàn giao đầy đủ, đổi mật khẩu mặc định, có hướng dẫn phân quyền</t>
  </si>
  <si>
    <t>DevOps/PM</t>
  </si>
  <si>
    <t>Môi trường Production</t>
  </si>
  <si>
    <t>Hệ thống đã triển khai &amp; vận hành ổn định trên môi trường thật</t>
  </si>
  <si>
    <t>Hệ thống hoạt động đúng chức năng, không lỗi nghiêm trọng (Critical/Major)</t>
  </si>
  <si>
    <t>Đào tạo người dùng cuối</t>
  </si>
  <si>
    <t>Đào tạo trực tiếp/online cho nhân viên tổng đài, kỹ thuật viên, quản trị viên</t>
  </si>
  <si>
    <t>Người dùng thao tác thành thạo các chức năng chính sau đào tạo</t>
  </si>
  <si>
    <t>User Manual &amp; tài liệu hướng dẫn</t>
  </si>
  <si>
    <t>Tài liệu hướng dẫn sử dụng cho từng vai trò người dùng</t>
  </si>
  <si>
    <t>Tài liệu rõ ràng, đầy đủ, dễ hiểu, có hình ảnh minh họa</t>
  </si>
  <si>
    <t>Bảo hành hệ thống</t>
  </si>
  <si>
    <t>Cam kết bảo hành &amp; hỗ trợ kỹ thuật sau bàn giao (thời hạn theo hợp đồng)</t>
  </si>
  <si>
    <t>Có văn bản/hợp đồng bảo hành, kênh hỗ trợ (hotline/email) rõ ràng</t>
  </si>
  <si>
    <t>Biên bản nghiệm thu tổng thể</t>
  </si>
  <si>
    <t>Biên bản xác nhận hoàn thành &amp; nghiệm thu toàn bộ dự án</t>
  </si>
  <si>
    <t>Hai bên ký xác nhận, không còn lỗi Critical/Major tồn đọng</t>
  </si>
  <si>
    <t>Đại diện Bên Giao (Đơn vị phát triển)</t>
  </si>
  <si>
    <t>Đại diện Bên Nhận (Khách hàng)</t>
  </si>
  <si>
    <t>(Ký, ghi rõ họ tên)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</si>
</sst>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&quot; ngày&quot;"/>
    <numFmt numFmtId="166" formatCode="dd/mm"/>
  </numFmts>
  <fonts count="9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0.0"/>
      <color rgb="FF000000"/>
      <name val="Calibri"/>
    </font>
    <font>
      <b/>
      <sz val="10.0"/>
      <color rgb="FF0000FF"/>
      <name val="Calibri"/>
    </font>
    <font>
      <b/>
      <sz val="10.0"/>
      <color rgb="FFFFFFFF"/>
      <name val="Calibri"/>
    </font>
    <font>
      <sz val="11.0"/>
      <color theme="1"/>
      <name val="Calibri"/>
    </font>
    <font>
      <i/>
      <sz val="9.0"/>
      <color rgb="FF7F7F7F"/>
      <name val="Calibri"/>
    </font>
    <font>
      <b/>
      <sz val="8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F9B8E"/>
        <bgColor rgb="FF0F9B8E"/>
      </patternFill>
    </fill>
    <fill>
      <patternFill patternType="solid">
        <fgColor rgb="FF2E5395"/>
        <bgColor rgb="FF2E5395"/>
      </patternFill>
    </fill>
    <fill>
      <patternFill patternType="solid">
        <fgColor rgb="FFF2F2F2"/>
        <bgColor rgb="FFF2F2F2"/>
      </patternFill>
    </fill>
  </fills>
  <borders count="1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left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7" fillId="3" fontId="3" numFmtId="0" xfId="0" applyAlignment="1" applyBorder="1" applyFont="1">
      <alignment horizontal="left" shrinkToFit="0" vertical="center" wrapText="1"/>
    </xf>
    <xf borderId="10" fillId="4" fontId="4" numFmtId="164" xfId="0" applyAlignment="1" applyBorder="1" applyFill="1" applyFont="1" applyNumberFormat="1">
      <alignment shrinkToFit="0" vertical="bottom" wrapText="0"/>
    </xf>
    <xf borderId="10" fillId="0" fontId="3" numFmtId="164" xfId="0" applyAlignment="1" applyBorder="1" applyFont="1" applyNumberFormat="1">
      <alignment shrinkToFit="0" vertical="bottom" wrapText="0"/>
    </xf>
    <xf borderId="10" fillId="0" fontId="3" numFmtId="165" xfId="0" applyAlignment="1" applyBorder="1" applyFont="1" applyNumberFormat="1">
      <alignment shrinkToFit="0" vertical="bottom" wrapText="0"/>
    </xf>
    <xf borderId="11" fillId="5" fontId="5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0" fillId="6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10" fillId="0" fontId="6" numFmtId="1" xfId="0" applyAlignment="1" applyBorder="1" applyFont="1" applyNumberFormat="1">
      <alignment horizontal="center" shrinkToFit="0" vertical="center" wrapText="1"/>
    </xf>
    <xf borderId="10" fillId="0" fontId="6" numFmtId="164" xfId="0" applyAlignment="1" applyBorder="1" applyFont="1" applyNumberFormat="1">
      <alignment horizontal="center" shrinkToFit="0" vertical="center" wrapText="1"/>
    </xf>
    <xf borderId="10" fillId="0" fontId="6" numFmtId="9" xfId="0" applyAlignment="1" applyBorder="1" applyFont="1" applyNumberFormat="1">
      <alignment horizontal="center" shrinkToFit="0" vertical="center" wrapText="1"/>
    </xf>
    <xf borderId="10" fillId="7" fontId="6" numFmtId="0" xfId="0" applyAlignment="1" applyBorder="1" applyFill="1" applyFont="1">
      <alignment horizontal="center" shrinkToFit="0" vertical="center" wrapText="1"/>
    </xf>
    <xf borderId="10" fillId="7" fontId="6" numFmtId="0" xfId="0" applyAlignment="1" applyBorder="1" applyFont="1">
      <alignment horizontal="left" shrinkToFit="0" vertical="center" wrapText="1"/>
    </xf>
    <xf borderId="10" fillId="7" fontId="6" numFmtId="1" xfId="0" applyAlignment="1" applyBorder="1" applyFont="1" applyNumberFormat="1">
      <alignment horizontal="center" shrinkToFit="0" vertical="center" wrapText="1"/>
    </xf>
    <xf borderId="10" fillId="7" fontId="6" numFmtId="164" xfId="0" applyAlignment="1" applyBorder="1" applyFont="1" applyNumberFormat="1">
      <alignment horizontal="center" shrinkToFit="0" vertical="center" wrapText="1"/>
    </xf>
    <xf borderId="10" fillId="7" fontId="6" numFmtId="9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10" fillId="3" fontId="3" numFmtId="164" xfId="0" applyAlignment="1" applyBorder="1" applyFont="1" applyNumberFormat="1">
      <alignment shrinkToFit="0" vertical="bottom" wrapText="0"/>
    </xf>
    <xf borderId="10" fillId="6" fontId="8" numFmtId="166" xfId="0" applyAlignment="1" applyBorder="1" applyFont="1" applyNumberFormat="1">
      <alignment horizontal="center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7" fillId="5" fontId="5" numFmtId="0" xfId="0" applyAlignment="1" applyBorder="1" applyFont="1">
      <alignment horizontal="left" shrinkToFit="0" vertical="center" wrapText="1"/>
    </xf>
    <xf borderId="14" fillId="5" fontId="5" numFmtId="0" xfId="0" applyAlignment="1" applyBorder="1" applyFont="1">
      <alignment horizontal="center" shrinkToFit="0" vertical="center" wrapText="1"/>
    </xf>
    <xf borderId="10" fillId="7" fontId="4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shrinkToFit="0" vertical="bottom" wrapText="0"/>
    </xf>
    <xf borderId="10" fillId="4" fontId="4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0" fillId="7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10" fillId="3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top" wrapText="0"/>
    </xf>
  </cellXfs>
  <cellStyles count="1">
    <cellStyle xfId="0" name="Normal" builtinId="0"/>
  </cellStyles>
  <dxfs count="5">
    <dxf>
      <font/>
      <fill>
        <patternFill patternType="solid">
          <fgColor rgb="FF0F9B8E"/>
          <bgColor rgb="FF0F9B8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DCF3F1"/>
          <bgColor rgb="FFDCF3F1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42.0"/>
    <col customWidth="1" min="3" max="3" width="16.0"/>
    <col customWidth="1" min="4" max="5" width="14.0"/>
    <col customWidth="1" min="6" max="6" width="12.0"/>
    <col customWidth="1" min="7" max="26" width="8.71"/>
  </cols>
  <sheetData>
    <row r="1" ht="30.0" customHeight="1">
      <c r="A1" s="1" t="s">
        <v>0</v>
      </c>
      <c r="B1" s="2"/>
      <c r="C1" s="2"/>
      <c r="D1" s="2"/>
      <c r="E1" s="2"/>
      <c r="F1" s="3"/>
    </row>
    <row r="2" ht="30.0" customHeight="1">
      <c r="A2" s="4"/>
      <c r="B2" s="5"/>
      <c r="C2" s="5"/>
      <c r="D2" s="5"/>
      <c r="E2" s="5"/>
      <c r="F2" s="6"/>
    </row>
    <row r="4" ht="23.25" customHeight="1">
      <c r="A4" s="7" t="s">
        <v>1</v>
      </c>
      <c r="B4" s="8"/>
      <c r="C4" s="8"/>
      <c r="D4" s="8"/>
      <c r="E4" s="8"/>
      <c r="F4" s="9"/>
    </row>
    <row r="5" ht="23.25" customHeight="1">
      <c r="A5" s="7" t="s">
        <v>2</v>
      </c>
      <c r="B5" s="8"/>
      <c r="C5" s="8"/>
      <c r="D5" s="8"/>
      <c r="E5" s="8"/>
      <c r="F5" s="9"/>
    </row>
    <row r="6" ht="28.5" customHeight="1">
      <c r="A6" s="7" t="s">
        <v>3</v>
      </c>
      <c r="B6" s="8"/>
      <c r="C6" s="8"/>
      <c r="D6" s="8"/>
      <c r="E6" s="8"/>
      <c r="F6" s="9"/>
    </row>
    <row r="7" ht="21.75" customHeight="1">
      <c r="A7" s="7" t="s">
        <v>4</v>
      </c>
      <c r="B7" s="8"/>
      <c r="C7" s="8"/>
      <c r="D7" s="8"/>
      <c r="E7" s="8"/>
      <c r="F7" s="9"/>
    </row>
    <row r="8" ht="34.5" customHeight="1">
      <c r="A8" s="7" t="s">
        <v>5</v>
      </c>
      <c r="B8" s="8"/>
      <c r="C8" s="8"/>
      <c r="D8" s="8"/>
      <c r="E8" s="8"/>
      <c r="F8" s="9"/>
    </row>
    <row r="11">
      <c r="A11" s="10" t="s">
        <v>6</v>
      </c>
      <c r="B11" s="9"/>
      <c r="C11" s="11">
        <v>46237.0</v>
      </c>
    </row>
    <row r="12">
      <c r="A12" s="10" t="s">
        <v>7</v>
      </c>
      <c r="B12" s="9"/>
      <c r="C12" s="12">
        <f>MAX('Master Plan'!F6:Z49)</f>
        <v>46423</v>
      </c>
    </row>
    <row r="13">
      <c r="A13" s="10" t="s">
        <v>8</v>
      </c>
      <c r="B13" s="9"/>
      <c r="C13" s="13">
        <f>C12-C11+1</f>
        <v>187</v>
      </c>
    </row>
    <row r="15" ht="18.0" customHeight="1">
      <c r="A15" s="14" t="s">
        <v>9</v>
      </c>
      <c r="B15" s="15"/>
      <c r="C15" s="15"/>
      <c r="D15" s="15"/>
      <c r="E15" s="15"/>
      <c r="F15" s="16"/>
    </row>
    <row r="16">
      <c r="A16" s="17" t="s">
        <v>10</v>
      </c>
      <c r="B16" s="17" t="s">
        <v>11</v>
      </c>
      <c r="C16" s="17" t="s">
        <v>12</v>
      </c>
      <c r="D16" s="17" t="s">
        <v>13</v>
      </c>
      <c r="E16" s="17" t="s">
        <v>14</v>
      </c>
      <c r="F16" s="17" t="s">
        <v>15</v>
      </c>
    </row>
    <row r="17">
      <c r="A17" s="18">
        <v>1.0</v>
      </c>
      <c r="B17" s="19" t="s">
        <v>16</v>
      </c>
      <c r="C17" s="20">
        <f>SUM('Master Plan'!E6:E8)</f>
        <v>13</v>
      </c>
      <c r="D17" s="21">
        <f>MIN('Master Plan'!D6:D8)</f>
        <v>46237</v>
      </c>
      <c r="E17" s="21">
        <f>MAX('Master Plan'!F6:F8)</f>
        <v>46249</v>
      </c>
      <c r="F17" s="22">
        <f t="shared" ref="F17:F27" si="1">C17/$C$13</f>
        <v>0.06951871658</v>
      </c>
    </row>
    <row r="18">
      <c r="A18" s="23">
        <v>2.0</v>
      </c>
      <c r="B18" s="24" t="s">
        <v>17</v>
      </c>
      <c r="C18" s="25">
        <f>SUM('Master Plan'!E10:E13)</f>
        <v>21</v>
      </c>
      <c r="D18" s="26">
        <f>MIN('Master Plan'!D10:D13)</f>
        <v>46250</v>
      </c>
      <c r="E18" s="26">
        <f>MAX('Master Plan'!F10:F13)</f>
        <v>46270</v>
      </c>
      <c r="F18" s="27">
        <f t="shared" si="1"/>
        <v>0.1122994652</v>
      </c>
    </row>
    <row r="19">
      <c r="A19" s="18">
        <v>3.0</v>
      </c>
      <c r="B19" s="19" t="s">
        <v>18</v>
      </c>
      <c r="C19" s="20">
        <f>SUM('Master Plan'!E15:E17)</f>
        <v>11</v>
      </c>
      <c r="D19" s="21">
        <f>MIN('Master Plan'!D15:D17)</f>
        <v>46271</v>
      </c>
      <c r="E19" s="21">
        <f>MAX('Master Plan'!F15:F17)</f>
        <v>46281</v>
      </c>
      <c r="F19" s="22">
        <f t="shared" si="1"/>
        <v>0.05882352941</v>
      </c>
    </row>
    <row r="20">
      <c r="A20" s="23">
        <v>4.0</v>
      </c>
      <c r="B20" s="24" t="s">
        <v>19</v>
      </c>
      <c r="C20" s="25">
        <f>SUM('Master Plan'!E19:E21)</f>
        <v>7</v>
      </c>
      <c r="D20" s="26">
        <f>MIN('Master Plan'!D19:D21)</f>
        <v>46282</v>
      </c>
      <c r="E20" s="26">
        <f>MAX('Master Plan'!F19:F21)</f>
        <v>46288</v>
      </c>
      <c r="F20" s="27">
        <f t="shared" si="1"/>
        <v>0.03743315508</v>
      </c>
    </row>
    <row r="21" ht="15.75" customHeight="1">
      <c r="A21" s="18">
        <v>5.0</v>
      </c>
      <c r="B21" s="19" t="s">
        <v>20</v>
      </c>
      <c r="C21" s="20">
        <f>SUM('Master Plan'!E23:E24)</f>
        <v>3</v>
      </c>
      <c r="D21" s="21">
        <f>MIN('Master Plan'!D23:D24)</f>
        <v>46289</v>
      </c>
      <c r="E21" s="21">
        <f>MAX('Master Plan'!F23:F24)</f>
        <v>46291</v>
      </c>
      <c r="F21" s="22">
        <f t="shared" si="1"/>
        <v>0.01604278075</v>
      </c>
    </row>
    <row r="22" ht="15.75" customHeight="1">
      <c r="A22" s="23">
        <v>6.0</v>
      </c>
      <c r="B22" s="24" t="s">
        <v>21</v>
      </c>
      <c r="C22" s="25">
        <f>SUM('Master Plan'!E26:E27)</f>
        <v>4</v>
      </c>
      <c r="D22" s="26">
        <f>MIN('Master Plan'!D26:D27)</f>
        <v>46292</v>
      </c>
      <c r="E22" s="26">
        <f>MAX('Master Plan'!F26:F27)</f>
        <v>46295</v>
      </c>
      <c r="F22" s="27">
        <f t="shared" si="1"/>
        <v>0.02139037433</v>
      </c>
    </row>
    <row r="23" ht="15.75" customHeight="1">
      <c r="A23" s="18">
        <v>7.0</v>
      </c>
      <c r="B23" s="19" t="s">
        <v>22</v>
      </c>
      <c r="C23" s="20">
        <f>SUM('Master Plan'!E29:E36)</f>
        <v>75</v>
      </c>
      <c r="D23" s="21">
        <f>MIN('Master Plan'!D29:D36)</f>
        <v>46296</v>
      </c>
      <c r="E23" s="21">
        <f>MAX('Master Plan'!F29:F36)</f>
        <v>46370</v>
      </c>
      <c r="F23" s="22">
        <f t="shared" si="1"/>
        <v>0.4010695187</v>
      </c>
    </row>
    <row r="24" ht="15.75" customHeight="1">
      <c r="A24" s="23">
        <v>8.0</v>
      </c>
      <c r="B24" s="24" t="s">
        <v>23</v>
      </c>
      <c r="C24" s="25">
        <f>SUM('Master Plan'!E38:E40)</f>
        <v>13</v>
      </c>
      <c r="D24" s="26">
        <f>MIN('Master Plan'!D38:D40)</f>
        <v>46371</v>
      </c>
      <c r="E24" s="26">
        <f>MAX('Master Plan'!F38:F40)</f>
        <v>46383</v>
      </c>
      <c r="F24" s="27">
        <f t="shared" si="1"/>
        <v>0.06951871658</v>
      </c>
    </row>
    <row r="25" ht="15.75" customHeight="1">
      <c r="A25" s="18">
        <v>9.0</v>
      </c>
      <c r="B25" s="19" t="s">
        <v>24</v>
      </c>
      <c r="C25" s="20">
        <f>SUM('Master Plan'!E42:E44)</f>
        <v>6</v>
      </c>
      <c r="D25" s="21">
        <f>MIN('Master Plan'!D42:D44)</f>
        <v>46384</v>
      </c>
      <c r="E25" s="21">
        <f>MAX('Master Plan'!F42:F44)</f>
        <v>46389</v>
      </c>
      <c r="F25" s="22">
        <f t="shared" si="1"/>
        <v>0.0320855615</v>
      </c>
    </row>
    <row r="26" ht="15.75" customHeight="1">
      <c r="A26" s="23">
        <v>10.0</v>
      </c>
      <c r="B26" s="24" t="s">
        <v>25</v>
      </c>
      <c r="C26" s="25">
        <f>SUM('Master Plan'!E46:E47)</f>
        <v>4</v>
      </c>
      <c r="D26" s="26">
        <f>MIN('Master Plan'!D46:D47)</f>
        <v>46390</v>
      </c>
      <c r="E26" s="26">
        <f>MAX('Master Plan'!F46:F47)</f>
        <v>46393</v>
      </c>
      <c r="F26" s="27">
        <f t="shared" si="1"/>
        <v>0.02139037433</v>
      </c>
    </row>
    <row r="27" ht="15.75" customHeight="1">
      <c r="A27" s="18">
        <v>11.0</v>
      </c>
      <c r="B27" s="19" t="s">
        <v>26</v>
      </c>
      <c r="C27" s="20">
        <f>SUM('Master Plan'!E49)</f>
        <v>30</v>
      </c>
      <c r="D27" s="21">
        <f>MIN('Master Plan'!D49)</f>
        <v>46394</v>
      </c>
      <c r="E27" s="21">
        <f>MAX('Master Plan'!F49)</f>
        <v>46423</v>
      </c>
      <c r="F27" s="22">
        <f t="shared" si="1"/>
        <v>0.1604278075</v>
      </c>
    </row>
    <row r="28" ht="15.75" customHeight="1"/>
    <row r="29" ht="27.75" customHeight="1">
      <c r="A29" s="28" t="s">
        <v>27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2:B12"/>
    <mergeCell ref="A13:B13"/>
    <mergeCell ref="A15:F15"/>
    <mergeCell ref="A29:F29"/>
    <mergeCell ref="A1:F2"/>
    <mergeCell ref="A4:F4"/>
    <mergeCell ref="A5:F5"/>
    <mergeCell ref="A6:F6"/>
    <mergeCell ref="A7:F7"/>
    <mergeCell ref="A8:F8"/>
    <mergeCell ref="A11:B11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5395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0"/>
    <col customWidth="1" min="2" max="2" width="4.0"/>
    <col customWidth="1" min="3" max="3" width="44.0"/>
    <col customWidth="1" min="4" max="4" width="12.0"/>
    <col customWidth="1" min="5" max="5" width="8.0"/>
    <col customWidth="1" min="6" max="6" width="12.0"/>
    <col customWidth="1" min="7" max="7" width="17.0"/>
    <col customWidth="1" min="8" max="8" width="26.0"/>
    <col customWidth="1" min="9" max="9" width="14.0"/>
    <col customWidth="1" min="10" max="10" width="9.0"/>
    <col customWidth="1" min="11" max="11" width="20.0"/>
    <col customWidth="1" min="12" max="35" width="4.43"/>
  </cols>
  <sheetData>
    <row r="1" ht="25.5" customHeight="1">
      <c r="A1" s="29" t="s">
        <v>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6"/>
    </row>
    <row r="2" ht="15.0" customHeight="1">
      <c r="A2" s="30" t="s">
        <v>29</v>
      </c>
      <c r="D2" s="31">
        <f>'Tổng quan'!$C$11</f>
        <v>46237</v>
      </c>
    </row>
    <row r="4" ht="31.5" customHeight="1">
      <c r="A4" s="17" t="s">
        <v>30</v>
      </c>
      <c r="B4" s="17" t="s">
        <v>11</v>
      </c>
      <c r="C4" s="17" t="s">
        <v>31</v>
      </c>
      <c r="D4" s="17" t="s">
        <v>32</v>
      </c>
      <c r="E4" s="17" t="s">
        <v>33</v>
      </c>
      <c r="F4" s="17" t="s">
        <v>34</v>
      </c>
      <c r="G4" s="17" t="s">
        <v>35</v>
      </c>
      <c r="H4" s="17" t="s">
        <v>36</v>
      </c>
      <c r="I4" s="17" t="s">
        <v>37</v>
      </c>
      <c r="J4" s="17" t="s">
        <v>38</v>
      </c>
      <c r="K4" s="17" t="s">
        <v>39</v>
      </c>
      <c r="L4" s="32">
        <f>D2</f>
        <v>46237</v>
      </c>
      <c r="M4" s="32">
        <f t="shared" ref="M4:AI4" si="1">L4+7</f>
        <v>46244</v>
      </c>
      <c r="N4" s="32">
        <f t="shared" si="1"/>
        <v>46251</v>
      </c>
      <c r="O4" s="32">
        <f t="shared" si="1"/>
        <v>46258</v>
      </c>
      <c r="P4" s="32">
        <f t="shared" si="1"/>
        <v>46265</v>
      </c>
      <c r="Q4" s="32">
        <f t="shared" si="1"/>
        <v>46272</v>
      </c>
      <c r="R4" s="32">
        <f t="shared" si="1"/>
        <v>46279</v>
      </c>
      <c r="S4" s="32">
        <f t="shared" si="1"/>
        <v>46286</v>
      </c>
      <c r="T4" s="32">
        <f t="shared" si="1"/>
        <v>46293</v>
      </c>
      <c r="U4" s="32">
        <f t="shared" si="1"/>
        <v>46300</v>
      </c>
      <c r="V4" s="32">
        <f t="shared" si="1"/>
        <v>46307</v>
      </c>
      <c r="W4" s="32">
        <f t="shared" si="1"/>
        <v>46314</v>
      </c>
      <c r="X4" s="32">
        <f t="shared" si="1"/>
        <v>46321</v>
      </c>
      <c r="Y4" s="32">
        <f t="shared" si="1"/>
        <v>46328</v>
      </c>
      <c r="Z4" s="32">
        <f t="shared" si="1"/>
        <v>46335</v>
      </c>
      <c r="AA4" s="32">
        <f t="shared" si="1"/>
        <v>46342</v>
      </c>
      <c r="AB4" s="32">
        <f t="shared" si="1"/>
        <v>46349</v>
      </c>
      <c r="AC4" s="32">
        <f t="shared" si="1"/>
        <v>46356</v>
      </c>
      <c r="AD4" s="32">
        <f t="shared" si="1"/>
        <v>46363</v>
      </c>
      <c r="AE4" s="32">
        <f t="shared" si="1"/>
        <v>46370</v>
      </c>
      <c r="AF4" s="32">
        <f t="shared" si="1"/>
        <v>46377</v>
      </c>
      <c r="AG4" s="32">
        <f t="shared" si="1"/>
        <v>46384</v>
      </c>
      <c r="AH4" s="32">
        <f t="shared" si="1"/>
        <v>46391</v>
      </c>
      <c r="AI4" s="32">
        <f t="shared" si="1"/>
        <v>46398</v>
      </c>
    </row>
    <row r="5" ht="18.0" customHeight="1">
      <c r="A5" s="33"/>
      <c r="B5" s="34" t="s">
        <v>16</v>
      </c>
      <c r="C5" s="8"/>
      <c r="D5" s="8"/>
      <c r="E5" s="8"/>
      <c r="F5" s="8"/>
      <c r="G5" s="8"/>
      <c r="H5" s="8"/>
      <c r="I5" s="8"/>
      <c r="J5" s="8"/>
      <c r="K5" s="9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>
      <c r="A6" s="23">
        <v>1.0</v>
      </c>
      <c r="B6" s="23"/>
      <c r="C6" s="24" t="s">
        <v>40</v>
      </c>
      <c r="D6" s="26">
        <f>D2</f>
        <v>46237</v>
      </c>
      <c r="E6" s="36">
        <v>5.0</v>
      </c>
      <c r="F6" s="26">
        <f t="shared" ref="F6:F8" si="2">D6+E6-1</f>
        <v>46241</v>
      </c>
      <c r="G6" s="24" t="s">
        <v>41</v>
      </c>
      <c r="H6" s="24" t="s">
        <v>42</v>
      </c>
      <c r="I6" s="23" t="s">
        <v>43</v>
      </c>
      <c r="J6" s="27">
        <v>0.0</v>
      </c>
      <c r="K6" s="24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</row>
    <row r="7">
      <c r="A7" s="18">
        <v>2.0</v>
      </c>
      <c r="B7" s="18"/>
      <c r="C7" s="19" t="s">
        <v>44</v>
      </c>
      <c r="D7" s="21">
        <f t="shared" ref="D7:D8" si="3">F6+1</f>
        <v>46242</v>
      </c>
      <c r="E7" s="38">
        <v>5.0</v>
      </c>
      <c r="F7" s="21">
        <f t="shared" si="2"/>
        <v>46246</v>
      </c>
      <c r="G7" s="19" t="s">
        <v>41</v>
      </c>
      <c r="H7" s="19" t="s">
        <v>45</v>
      </c>
      <c r="I7" s="18" t="s">
        <v>43</v>
      </c>
      <c r="J7" s="22">
        <v>0.0</v>
      </c>
      <c r="K7" s="19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>
      <c r="A8" s="23">
        <v>3.0</v>
      </c>
      <c r="B8" s="23"/>
      <c r="C8" s="24" t="s">
        <v>46</v>
      </c>
      <c r="D8" s="26">
        <f t="shared" si="3"/>
        <v>46247</v>
      </c>
      <c r="E8" s="36">
        <v>3.0</v>
      </c>
      <c r="F8" s="26">
        <f t="shared" si="2"/>
        <v>46249</v>
      </c>
      <c r="G8" s="24" t="s">
        <v>41</v>
      </c>
      <c r="H8" s="24" t="s">
        <v>47</v>
      </c>
      <c r="I8" s="23" t="s">
        <v>43</v>
      </c>
      <c r="J8" s="27">
        <v>0.0</v>
      </c>
      <c r="K8" s="24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</row>
    <row r="9" ht="18.0" customHeight="1">
      <c r="A9" s="33"/>
      <c r="B9" s="34" t="s">
        <v>17</v>
      </c>
      <c r="C9" s="8"/>
      <c r="D9" s="8"/>
      <c r="E9" s="8"/>
      <c r="F9" s="8"/>
      <c r="G9" s="8"/>
      <c r="H9" s="8"/>
      <c r="I9" s="8"/>
      <c r="J9" s="8"/>
      <c r="K9" s="9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>
      <c r="A10" s="23">
        <v>4.0</v>
      </c>
      <c r="B10" s="23"/>
      <c r="C10" s="24" t="s">
        <v>48</v>
      </c>
      <c r="D10" s="26">
        <f>F8+1</f>
        <v>46250</v>
      </c>
      <c r="E10" s="36">
        <v>5.0</v>
      </c>
      <c r="F10" s="26">
        <f t="shared" ref="F10:F13" si="4">D10+E10-1</f>
        <v>46254</v>
      </c>
      <c r="G10" s="24" t="s">
        <v>41</v>
      </c>
      <c r="H10" s="24" t="s">
        <v>49</v>
      </c>
      <c r="I10" s="23" t="s">
        <v>43</v>
      </c>
      <c r="J10" s="27">
        <v>0.0</v>
      </c>
      <c r="K10" s="24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</row>
    <row r="11">
      <c r="A11" s="18">
        <v>5.0</v>
      </c>
      <c r="B11" s="18"/>
      <c r="C11" s="19" t="s">
        <v>50</v>
      </c>
      <c r="D11" s="21">
        <f t="shared" ref="D11:D13" si="5">F10+1</f>
        <v>46255</v>
      </c>
      <c r="E11" s="38">
        <v>7.0</v>
      </c>
      <c r="F11" s="21">
        <f t="shared" si="4"/>
        <v>46261</v>
      </c>
      <c r="G11" s="19" t="s">
        <v>51</v>
      </c>
      <c r="H11" s="19" t="s">
        <v>52</v>
      </c>
      <c r="I11" s="18" t="s">
        <v>43</v>
      </c>
      <c r="J11" s="22">
        <v>0.0</v>
      </c>
      <c r="K11" s="19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>
      <c r="A12" s="23">
        <v>6.0</v>
      </c>
      <c r="B12" s="23"/>
      <c r="C12" s="24" t="s">
        <v>53</v>
      </c>
      <c r="D12" s="26">
        <f t="shared" si="5"/>
        <v>46262</v>
      </c>
      <c r="E12" s="36">
        <v>5.0</v>
      </c>
      <c r="F12" s="26">
        <f t="shared" si="4"/>
        <v>46266</v>
      </c>
      <c r="G12" s="24" t="s">
        <v>54</v>
      </c>
      <c r="H12" s="24" t="s">
        <v>55</v>
      </c>
      <c r="I12" s="23" t="s">
        <v>43</v>
      </c>
      <c r="J12" s="27">
        <v>0.0</v>
      </c>
      <c r="K12" s="24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</row>
    <row r="13">
      <c r="A13" s="18">
        <v>7.0</v>
      </c>
      <c r="B13" s="18"/>
      <c r="C13" s="19" t="s">
        <v>56</v>
      </c>
      <c r="D13" s="21">
        <f t="shared" si="5"/>
        <v>46267</v>
      </c>
      <c r="E13" s="38">
        <v>4.0</v>
      </c>
      <c r="F13" s="21">
        <f t="shared" si="4"/>
        <v>46270</v>
      </c>
      <c r="G13" s="19" t="s">
        <v>54</v>
      </c>
      <c r="H13" s="19" t="s">
        <v>57</v>
      </c>
      <c r="I13" s="18" t="s">
        <v>43</v>
      </c>
      <c r="J13" s="22">
        <v>0.0</v>
      </c>
      <c r="K13" s="19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</row>
    <row r="14" ht="18.0" customHeight="1">
      <c r="A14" s="33"/>
      <c r="B14" s="34" t="s">
        <v>18</v>
      </c>
      <c r="C14" s="8"/>
      <c r="D14" s="8"/>
      <c r="E14" s="8"/>
      <c r="F14" s="8"/>
      <c r="G14" s="8"/>
      <c r="H14" s="8"/>
      <c r="I14" s="8"/>
      <c r="J14" s="8"/>
      <c r="K14" s="9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>
      <c r="A15" s="18">
        <v>8.0</v>
      </c>
      <c r="B15" s="18"/>
      <c r="C15" s="19" t="s">
        <v>58</v>
      </c>
      <c r="D15" s="21">
        <f>F13+1</f>
        <v>46271</v>
      </c>
      <c r="E15" s="38">
        <v>4.0</v>
      </c>
      <c r="F15" s="21">
        <f t="shared" ref="F15:F17" si="6">D15+E15-1</f>
        <v>46274</v>
      </c>
      <c r="G15" s="19" t="s">
        <v>41</v>
      </c>
      <c r="H15" s="19" t="s">
        <v>59</v>
      </c>
      <c r="I15" s="18" t="s">
        <v>43</v>
      </c>
      <c r="J15" s="22">
        <v>0.0</v>
      </c>
      <c r="K15" s="19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</row>
    <row r="16">
      <c r="A16" s="23">
        <v>9.0</v>
      </c>
      <c r="B16" s="23"/>
      <c r="C16" s="24" t="s">
        <v>60</v>
      </c>
      <c r="D16" s="26">
        <f t="shared" ref="D16:D17" si="7">F15+1</f>
        <v>46275</v>
      </c>
      <c r="E16" s="36">
        <v>4.0</v>
      </c>
      <c r="F16" s="26">
        <f t="shared" si="6"/>
        <v>46278</v>
      </c>
      <c r="G16" s="24" t="s">
        <v>61</v>
      </c>
      <c r="H16" s="24" t="s">
        <v>62</v>
      </c>
      <c r="I16" s="23" t="s">
        <v>43</v>
      </c>
      <c r="J16" s="27">
        <v>0.0</v>
      </c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</row>
    <row r="17">
      <c r="A17" s="18">
        <v>10.0</v>
      </c>
      <c r="B17" s="18"/>
      <c r="C17" s="19" t="s">
        <v>63</v>
      </c>
      <c r="D17" s="21">
        <f t="shared" si="7"/>
        <v>46279</v>
      </c>
      <c r="E17" s="38">
        <v>3.0</v>
      </c>
      <c r="F17" s="21">
        <f t="shared" si="6"/>
        <v>46281</v>
      </c>
      <c r="G17" s="19" t="s">
        <v>64</v>
      </c>
      <c r="H17" s="19" t="s">
        <v>65</v>
      </c>
      <c r="I17" s="18" t="s">
        <v>43</v>
      </c>
      <c r="J17" s="22">
        <v>0.0</v>
      </c>
      <c r="K17" s="19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</row>
    <row r="18" ht="18.0" customHeight="1">
      <c r="A18" s="33"/>
      <c r="B18" s="34" t="s">
        <v>19</v>
      </c>
      <c r="C18" s="8"/>
      <c r="D18" s="8"/>
      <c r="E18" s="8"/>
      <c r="F18" s="8"/>
      <c r="G18" s="8"/>
      <c r="H18" s="8"/>
      <c r="I18" s="8"/>
      <c r="J18" s="8"/>
      <c r="K18" s="9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</row>
    <row r="19">
      <c r="A19" s="18">
        <v>11.0</v>
      </c>
      <c r="B19" s="18"/>
      <c r="C19" s="19" t="s">
        <v>66</v>
      </c>
      <c r="D19" s="21">
        <f>F17+1</f>
        <v>46282</v>
      </c>
      <c r="E19" s="38">
        <v>2.0</v>
      </c>
      <c r="F19" s="21">
        <f t="shared" ref="F19:F21" si="8">D19+E19-1</f>
        <v>46283</v>
      </c>
      <c r="G19" s="19" t="s">
        <v>41</v>
      </c>
      <c r="H19" s="19" t="s">
        <v>67</v>
      </c>
      <c r="I19" s="18" t="s">
        <v>43</v>
      </c>
      <c r="J19" s="22">
        <v>0.0</v>
      </c>
      <c r="K19" s="19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</row>
    <row r="20">
      <c r="A20" s="23">
        <v>12.0</v>
      </c>
      <c r="B20" s="23"/>
      <c r="C20" s="24" t="s">
        <v>68</v>
      </c>
      <c r="D20" s="26">
        <f t="shared" ref="D20:D21" si="9">F19+1</f>
        <v>46284</v>
      </c>
      <c r="E20" s="36">
        <v>3.0</v>
      </c>
      <c r="F20" s="26">
        <f t="shared" si="8"/>
        <v>46286</v>
      </c>
      <c r="G20" s="24" t="s">
        <v>69</v>
      </c>
      <c r="H20" s="24" t="s">
        <v>70</v>
      </c>
      <c r="I20" s="23" t="s">
        <v>43</v>
      </c>
      <c r="J20" s="27">
        <v>0.0</v>
      </c>
      <c r="K20" s="24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</row>
    <row r="21" ht="15.75" customHeight="1">
      <c r="A21" s="18">
        <v>13.0</v>
      </c>
      <c r="B21" s="18"/>
      <c r="C21" s="19" t="s">
        <v>71</v>
      </c>
      <c r="D21" s="21">
        <f t="shared" si="9"/>
        <v>46287</v>
      </c>
      <c r="E21" s="38">
        <v>2.0</v>
      </c>
      <c r="F21" s="21">
        <f t="shared" si="8"/>
        <v>46288</v>
      </c>
      <c r="G21" s="19" t="s">
        <v>72</v>
      </c>
      <c r="H21" s="19" t="s">
        <v>73</v>
      </c>
      <c r="I21" s="18" t="s">
        <v>43</v>
      </c>
      <c r="J21" s="22">
        <v>0.0</v>
      </c>
      <c r="K21" s="19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</row>
    <row r="22" ht="18.0" customHeight="1">
      <c r="A22" s="33"/>
      <c r="B22" s="34" t="s">
        <v>20</v>
      </c>
      <c r="C22" s="8"/>
      <c r="D22" s="8"/>
      <c r="E22" s="8"/>
      <c r="F22" s="8"/>
      <c r="G22" s="8"/>
      <c r="H22" s="8"/>
      <c r="I22" s="8"/>
      <c r="J22" s="8"/>
      <c r="K22" s="9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ht="15.75" customHeight="1">
      <c r="A23" s="18">
        <v>14.0</v>
      </c>
      <c r="B23" s="18"/>
      <c r="C23" s="19" t="s">
        <v>74</v>
      </c>
      <c r="D23" s="21">
        <f>F21+1</f>
        <v>46289</v>
      </c>
      <c r="E23" s="38">
        <v>1.0</v>
      </c>
      <c r="F23" s="21">
        <f t="shared" ref="F23:F24" si="10">D23+E23-1</f>
        <v>46289</v>
      </c>
      <c r="G23" s="19" t="s">
        <v>75</v>
      </c>
      <c r="H23" s="19" t="s">
        <v>76</v>
      </c>
      <c r="I23" s="18" t="s">
        <v>43</v>
      </c>
      <c r="J23" s="22">
        <v>0.0</v>
      </c>
      <c r="K23" s="19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</row>
    <row r="24" ht="15.75" customHeight="1">
      <c r="A24" s="23">
        <v>15.0</v>
      </c>
      <c r="B24" s="23"/>
      <c r="C24" s="24" t="s">
        <v>77</v>
      </c>
      <c r="D24" s="26">
        <f>F23+1</f>
        <v>46290</v>
      </c>
      <c r="E24" s="36">
        <v>2.0</v>
      </c>
      <c r="F24" s="26">
        <f t="shared" si="10"/>
        <v>46291</v>
      </c>
      <c r="G24" s="24" t="s">
        <v>75</v>
      </c>
      <c r="H24" s="24" t="s">
        <v>78</v>
      </c>
      <c r="I24" s="23" t="s">
        <v>43</v>
      </c>
      <c r="J24" s="27">
        <v>0.0</v>
      </c>
      <c r="K24" s="24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</row>
    <row r="25" ht="18.0" customHeight="1">
      <c r="A25" s="33"/>
      <c r="B25" s="34" t="s">
        <v>21</v>
      </c>
      <c r="C25" s="8"/>
      <c r="D25" s="8"/>
      <c r="E25" s="8"/>
      <c r="F25" s="8"/>
      <c r="G25" s="8"/>
      <c r="H25" s="8"/>
      <c r="I25" s="8"/>
      <c r="J25" s="8"/>
      <c r="K25" s="9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</row>
    <row r="26" ht="15.75" customHeight="1">
      <c r="A26" s="23">
        <v>16.0</v>
      </c>
      <c r="B26" s="23"/>
      <c r="C26" s="24" t="s">
        <v>79</v>
      </c>
      <c r="D26" s="26">
        <f>F24+1</f>
        <v>46292</v>
      </c>
      <c r="E26" s="36">
        <v>2.0</v>
      </c>
      <c r="F26" s="26">
        <f t="shared" ref="F26:F27" si="11">D26+E26-1</f>
        <v>46293</v>
      </c>
      <c r="G26" s="24" t="s">
        <v>80</v>
      </c>
      <c r="H26" s="24" t="s">
        <v>81</v>
      </c>
      <c r="I26" s="23" t="s">
        <v>43</v>
      </c>
      <c r="J26" s="27">
        <v>0.0</v>
      </c>
      <c r="K26" s="24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</row>
    <row r="27" ht="15.75" customHeight="1">
      <c r="A27" s="18">
        <v>17.0</v>
      </c>
      <c r="B27" s="18"/>
      <c r="C27" s="19" t="s">
        <v>82</v>
      </c>
      <c r="D27" s="21">
        <f>F26+1</f>
        <v>46294</v>
      </c>
      <c r="E27" s="38">
        <v>2.0</v>
      </c>
      <c r="F27" s="21">
        <f t="shared" si="11"/>
        <v>46295</v>
      </c>
      <c r="G27" s="19" t="s">
        <v>41</v>
      </c>
      <c r="H27" s="19" t="s">
        <v>83</v>
      </c>
      <c r="I27" s="18" t="s">
        <v>43</v>
      </c>
      <c r="J27" s="22">
        <v>0.0</v>
      </c>
      <c r="K27" s="19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ht="18.0" customHeight="1">
      <c r="A28" s="33"/>
      <c r="B28" s="34" t="s">
        <v>22</v>
      </c>
      <c r="C28" s="8"/>
      <c r="D28" s="8"/>
      <c r="E28" s="8"/>
      <c r="F28" s="8"/>
      <c r="G28" s="8"/>
      <c r="H28" s="8"/>
      <c r="I28" s="8"/>
      <c r="J28" s="8"/>
      <c r="K28" s="9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ht="15.75" customHeight="1">
      <c r="A29" s="18">
        <v>18.0</v>
      </c>
      <c r="B29" s="18"/>
      <c r="C29" s="19" t="s">
        <v>84</v>
      </c>
      <c r="D29" s="21">
        <f>F27+1</f>
        <v>46296</v>
      </c>
      <c r="E29" s="38">
        <v>5.0</v>
      </c>
      <c r="F29" s="21">
        <f t="shared" ref="F29:F36" si="12">D29+E29-1</f>
        <v>46300</v>
      </c>
      <c r="G29" s="19" t="s">
        <v>85</v>
      </c>
      <c r="H29" s="19" t="s">
        <v>86</v>
      </c>
      <c r="I29" s="18" t="s">
        <v>43</v>
      </c>
      <c r="J29" s="22">
        <v>0.0</v>
      </c>
      <c r="K29" s="19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ht="15.75" customHeight="1">
      <c r="A30" s="23">
        <v>19.0</v>
      </c>
      <c r="B30" s="23"/>
      <c r="C30" s="24" t="s">
        <v>87</v>
      </c>
      <c r="D30" s="26">
        <f t="shared" ref="D30:D36" si="13">F29+1</f>
        <v>46301</v>
      </c>
      <c r="E30" s="36">
        <v>10.0</v>
      </c>
      <c r="F30" s="26">
        <f t="shared" si="12"/>
        <v>46310</v>
      </c>
      <c r="G30" s="24" t="s">
        <v>88</v>
      </c>
      <c r="H30" s="24" t="s">
        <v>89</v>
      </c>
      <c r="I30" s="23" t="s">
        <v>43</v>
      </c>
      <c r="J30" s="27">
        <v>0.0</v>
      </c>
      <c r="K30" s="24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</row>
    <row r="31" ht="15.75" customHeight="1">
      <c r="A31" s="18">
        <v>20.0</v>
      </c>
      <c r="B31" s="18"/>
      <c r="C31" s="19" t="s">
        <v>90</v>
      </c>
      <c r="D31" s="21">
        <f t="shared" si="13"/>
        <v>46311</v>
      </c>
      <c r="E31" s="38">
        <v>10.0</v>
      </c>
      <c r="F31" s="21">
        <f t="shared" si="12"/>
        <v>46320</v>
      </c>
      <c r="G31" s="19" t="s">
        <v>88</v>
      </c>
      <c r="H31" s="19" t="s">
        <v>91</v>
      </c>
      <c r="I31" s="18" t="s">
        <v>43</v>
      </c>
      <c r="J31" s="22">
        <v>0.0</v>
      </c>
      <c r="K31" s="19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</row>
    <row r="32" ht="15.75" customHeight="1">
      <c r="A32" s="23">
        <v>21.0</v>
      </c>
      <c r="B32" s="23"/>
      <c r="C32" s="24" t="s">
        <v>92</v>
      </c>
      <c r="D32" s="26">
        <f t="shared" si="13"/>
        <v>46321</v>
      </c>
      <c r="E32" s="36">
        <v>10.0</v>
      </c>
      <c r="F32" s="26">
        <f t="shared" si="12"/>
        <v>46330</v>
      </c>
      <c r="G32" s="24" t="s">
        <v>88</v>
      </c>
      <c r="H32" s="24" t="s">
        <v>93</v>
      </c>
      <c r="I32" s="23" t="s">
        <v>43</v>
      </c>
      <c r="J32" s="27">
        <v>0.0</v>
      </c>
      <c r="K32" s="24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</row>
    <row r="33" ht="15.75" customHeight="1">
      <c r="A33" s="18">
        <v>22.0</v>
      </c>
      <c r="B33" s="18"/>
      <c r="C33" s="19" t="s">
        <v>94</v>
      </c>
      <c r="D33" s="21">
        <f t="shared" si="13"/>
        <v>46331</v>
      </c>
      <c r="E33" s="38">
        <v>10.0</v>
      </c>
      <c r="F33" s="21">
        <f t="shared" si="12"/>
        <v>46340</v>
      </c>
      <c r="G33" s="19" t="s">
        <v>88</v>
      </c>
      <c r="H33" s="19" t="s">
        <v>95</v>
      </c>
      <c r="I33" s="18" t="s">
        <v>43</v>
      </c>
      <c r="J33" s="22">
        <v>0.0</v>
      </c>
      <c r="K33" s="19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</row>
    <row r="34" ht="15.75" customHeight="1">
      <c r="A34" s="23">
        <v>23.0</v>
      </c>
      <c r="B34" s="23"/>
      <c r="C34" s="24" t="s">
        <v>96</v>
      </c>
      <c r="D34" s="26">
        <f t="shared" si="13"/>
        <v>46341</v>
      </c>
      <c r="E34" s="36">
        <v>10.0</v>
      </c>
      <c r="F34" s="26">
        <f t="shared" si="12"/>
        <v>46350</v>
      </c>
      <c r="G34" s="24" t="s">
        <v>88</v>
      </c>
      <c r="H34" s="24" t="s">
        <v>97</v>
      </c>
      <c r="I34" s="23" t="s">
        <v>43</v>
      </c>
      <c r="J34" s="27">
        <v>0.0</v>
      </c>
      <c r="K34" s="24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</row>
    <row r="35" ht="15.75" customHeight="1">
      <c r="A35" s="18">
        <v>24.0</v>
      </c>
      <c r="B35" s="18"/>
      <c r="C35" s="19" t="s">
        <v>98</v>
      </c>
      <c r="D35" s="21">
        <f t="shared" si="13"/>
        <v>46351</v>
      </c>
      <c r="E35" s="38">
        <v>10.0</v>
      </c>
      <c r="F35" s="21">
        <f t="shared" si="12"/>
        <v>46360</v>
      </c>
      <c r="G35" s="19" t="s">
        <v>88</v>
      </c>
      <c r="H35" s="19" t="s">
        <v>99</v>
      </c>
      <c r="I35" s="18" t="s">
        <v>43</v>
      </c>
      <c r="J35" s="22">
        <v>0.0</v>
      </c>
      <c r="K35" s="19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</row>
    <row r="36" ht="15.75" customHeight="1">
      <c r="A36" s="23">
        <v>25.0</v>
      </c>
      <c r="B36" s="23"/>
      <c r="C36" s="24" t="s">
        <v>100</v>
      </c>
      <c r="D36" s="26">
        <f t="shared" si="13"/>
        <v>46361</v>
      </c>
      <c r="E36" s="36">
        <v>10.0</v>
      </c>
      <c r="F36" s="26">
        <f t="shared" si="12"/>
        <v>46370</v>
      </c>
      <c r="G36" s="24" t="s">
        <v>88</v>
      </c>
      <c r="H36" s="24" t="s">
        <v>101</v>
      </c>
      <c r="I36" s="23" t="s">
        <v>43</v>
      </c>
      <c r="J36" s="27">
        <v>0.0</v>
      </c>
      <c r="K36" s="24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</row>
    <row r="37" ht="18.0" customHeight="1">
      <c r="A37" s="33"/>
      <c r="B37" s="34" t="s">
        <v>23</v>
      </c>
      <c r="C37" s="8"/>
      <c r="D37" s="8"/>
      <c r="E37" s="8"/>
      <c r="F37" s="8"/>
      <c r="G37" s="8"/>
      <c r="H37" s="8"/>
      <c r="I37" s="8"/>
      <c r="J37" s="8"/>
      <c r="K37" s="9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</row>
    <row r="38" ht="15.75" customHeight="1">
      <c r="A38" s="23">
        <v>26.0</v>
      </c>
      <c r="B38" s="23"/>
      <c r="C38" s="24" t="s">
        <v>102</v>
      </c>
      <c r="D38" s="26">
        <f>F36+1</f>
        <v>46371</v>
      </c>
      <c r="E38" s="36">
        <v>5.0</v>
      </c>
      <c r="F38" s="26">
        <f t="shared" ref="F38:F40" si="14">D38+E38-1</f>
        <v>46375</v>
      </c>
      <c r="G38" s="24" t="s">
        <v>103</v>
      </c>
      <c r="H38" s="24" t="s">
        <v>104</v>
      </c>
      <c r="I38" s="23" t="s">
        <v>43</v>
      </c>
      <c r="J38" s="27">
        <v>0.0</v>
      </c>
      <c r="K38" s="24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</row>
    <row r="39" ht="15.75" customHeight="1">
      <c r="A39" s="18">
        <v>27.0</v>
      </c>
      <c r="B39" s="18"/>
      <c r="C39" s="19" t="s">
        <v>105</v>
      </c>
      <c r="D39" s="21">
        <f t="shared" ref="D39:D40" si="15">F38+1</f>
        <v>46376</v>
      </c>
      <c r="E39" s="38">
        <v>5.0</v>
      </c>
      <c r="F39" s="21">
        <f t="shared" si="14"/>
        <v>46380</v>
      </c>
      <c r="G39" s="19" t="s">
        <v>106</v>
      </c>
      <c r="H39" s="19" t="s">
        <v>107</v>
      </c>
      <c r="I39" s="18" t="s">
        <v>43</v>
      </c>
      <c r="J39" s="22">
        <v>0.0</v>
      </c>
      <c r="K39" s="19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</row>
    <row r="40" ht="15.75" customHeight="1">
      <c r="A40" s="23">
        <v>28.0</v>
      </c>
      <c r="B40" s="23"/>
      <c r="C40" s="24" t="s">
        <v>108</v>
      </c>
      <c r="D40" s="26">
        <f t="shared" si="15"/>
        <v>46381</v>
      </c>
      <c r="E40" s="36">
        <v>3.0</v>
      </c>
      <c r="F40" s="26">
        <f t="shared" si="14"/>
        <v>46383</v>
      </c>
      <c r="G40" s="24" t="s">
        <v>88</v>
      </c>
      <c r="H40" s="24" t="s">
        <v>109</v>
      </c>
      <c r="I40" s="23" t="s">
        <v>43</v>
      </c>
      <c r="J40" s="27">
        <v>0.0</v>
      </c>
      <c r="K40" s="24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</row>
    <row r="41" ht="18.0" customHeight="1">
      <c r="A41" s="33"/>
      <c r="B41" s="34" t="s">
        <v>24</v>
      </c>
      <c r="C41" s="8"/>
      <c r="D41" s="8"/>
      <c r="E41" s="8"/>
      <c r="F41" s="8"/>
      <c r="G41" s="8"/>
      <c r="H41" s="8"/>
      <c r="I41" s="8"/>
      <c r="J41" s="8"/>
      <c r="K41" s="9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</row>
    <row r="42" ht="15.75" customHeight="1">
      <c r="A42" s="23">
        <v>29.0</v>
      </c>
      <c r="B42" s="23"/>
      <c r="C42" s="24" t="s">
        <v>110</v>
      </c>
      <c r="D42" s="26">
        <f>F40+1</f>
        <v>46384</v>
      </c>
      <c r="E42" s="36">
        <v>2.0</v>
      </c>
      <c r="F42" s="26">
        <f t="shared" ref="F42:F44" si="16">D42+E42-1</f>
        <v>46385</v>
      </c>
      <c r="G42" s="24" t="s">
        <v>111</v>
      </c>
      <c r="H42" s="24" t="s">
        <v>112</v>
      </c>
      <c r="I42" s="23" t="s">
        <v>43</v>
      </c>
      <c r="J42" s="27">
        <v>0.0</v>
      </c>
      <c r="K42" s="24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</row>
    <row r="43" ht="15.75" customHeight="1">
      <c r="A43" s="18">
        <v>30.0</v>
      </c>
      <c r="B43" s="18"/>
      <c r="C43" s="19" t="s">
        <v>113</v>
      </c>
      <c r="D43" s="21">
        <f t="shared" ref="D43:D44" si="17">F42+1</f>
        <v>46386</v>
      </c>
      <c r="E43" s="38">
        <v>2.0</v>
      </c>
      <c r="F43" s="21">
        <f t="shared" si="16"/>
        <v>46387</v>
      </c>
      <c r="G43" s="19" t="s">
        <v>114</v>
      </c>
      <c r="H43" s="19" t="s">
        <v>115</v>
      </c>
      <c r="I43" s="18" t="s">
        <v>43</v>
      </c>
      <c r="J43" s="22">
        <v>0.0</v>
      </c>
      <c r="K43" s="19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</row>
    <row r="44" ht="15.75" customHeight="1">
      <c r="A44" s="23">
        <v>31.0</v>
      </c>
      <c r="B44" s="23"/>
      <c r="C44" s="24" t="s">
        <v>116</v>
      </c>
      <c r="D44" s="26">
        <f t="shared" si="17"/>
        <v>46388</v>
      </c>
      <c r="E44" s="36">
        <v>2.0</v>
      </c>
      <c r="F44" s="26">
        <f t="shared" si="16"/>
        <v>46389</v>
      </c>
      <c r="G44" s="24" t="s">
        <v>117</v>
      </c>
      <c r="H44" s="24" t="s">
        <v>118</v>
      </c>
      <c r="I44" s="23" t="s">
        <v>43</v>
      </c>
      <c r="J44" s="27">
        <v>0.0</v>
      </c>
      <c r="K44" s="24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</row>
    <row r="45" ht="18.0" customHeight="1">
      <c r="A45" s="33"/>
      <c r="B45" s="34" t="s">
        <v>25</v>
      </c>
      <c r="C45" s="8"/>
      <c r="D45" s="8"/>
      <c r="E45" s="8"/>
      <c r="F45" s="8"/>
      <c r="G45" s="8"/>
      <c r="H45" s="8"/>
      <c r="I45" s="8"/>
      <c r="J45" s="8"/>
      <c r="K45" s="9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</row>
    <row r="46" ht="15.75" customHeight="1">
      <c r="A46" s="23">
        <v>32.0</v>
      </c>
      <c r="B46" s="23"/>
      <c r="C46" s="24" t="s">
        <v>119</v>
      </c>
      <c r="D46" s="26">
        <f>F44+1</f>
        <v>46390</v>
      </c>
      <c r="E46" s="36">
        <v>3.0</v>
      </c>
      <c r="F46" s="26">
        <f t="shared" ref="F46:F47" si="18">D46+E46-1</f>
        <v>46392</v>
      </c>
      <c r="G46" s="24" t="s">
        <v>120</v>
      </c>
      <c r="H46" s="24" t="s">
        <v>121</v>
      </c>
      <c r="I46" s="23" t="s">
        <v>43</v>
      </c>
      <c r="J46" s="27">
        <v>0.0</v>
      </c>
      <c r="K46" s="24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</row>
    <row r="47" ht="15.75" customHeight="1">
      <c r="A47" s="18">
        <v>33.0</v>
      </c>
      <c r="B47" s="18"/>
      <c r="C47" s="19" t="s">
        <v>122</v>
      </c>
      <c r="D47" s="21">
        <f>F46+1</f>
        <v>46393</v>
      </c>
      <c r="E47" s="38">
        <v>1.0</v>
      </c>
      <c r="F47" s="21">
        <f t="shared" si="18"/>
        <v>46393</v>
      </c>
      <c r="G47" s="19" t="s">
        <v>72</v>
      </c>
      <c r="H47" s="19" t="s">
        <v>123</v>
      </c>
      <c r="I47" s="18" t="s">
        <v>43</v>
      </c>
      <c r="J47" s="22">
        <v>0.0</v>
      </c>
      <c r="K47" s="19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</row>
    <row r="48" ht="18.0" customHeight="1">
      <c r="A48" s="33"/>
      <c r="B48" s="34" t="s">
        <v>26</v>
      </c>
      <c r="C48" s="8"/>
      <c r="D48" s="8"/>
      <c r="E48" s="8"/>
      <c r="F48" s="8"/>
      <c r="G48" s="8"/>
      <c r="H48" s="8"/>
      <c r="I48" s="8"/>
      <c r="J48" s="8"/>
      <c r="K48" s="9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</row>
    <row r="49" ht="15.75" customHeight="1">
      <c r="A49" s="18">
        <v>34.0</v>
      </c>
      <c r="B49" s="18"/>
      <c r="C49" s="19" t="s">
        <v>124</v>
      </c>
      <c r="D49" s="21">
        <f>F47+1</f>
        <v>46394</v>
      </c>
      <c r="E49" s="38">
        <v>30.0</v>
      </c>
      <c r="F49" s="21">
        <f>D49+E49-1</f>
        <v>46423</v>
      </c>
      <c r="G49" s="19" t="s">
        <v>88</v>
      </c>
      <c r="H49" s="19" t="s">
        <v>125</v>
      </c>
      <c r="I49" s="18" t="s">
        <v>43</v>
      </c>
      <c r="J49" s="22">
        <v>0.0</v>
      </c>
      <c r="K49" s="19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25:K25"/>
    <mergeCell ref="B28:K28"/>
    <mergeCell ref="B37:K37"/>
    <mergeCell ref="B41:K41"/>
    <mergeCell ref="B45:K45"/>
    <mergeCell ref="B48:K48"/>
    <mergeCell ref="A1:AI1"/>
    <mergeCell ref="A2:C2"/>
    <mergeCell ref="B5:K5"/>
    <mergeCell ref="B9:K9"/>
    <mergeCell ref="B14:K14"/>
    <mergeCell ref="B18:K18"/>
    <mergeCell ref="B22:K22"/>
  </mergeCells>
  <conditionalFormatting sqref="L5:AI49">
    <cfRule type="expression" dxfId="0" priority="1">
      <formula>AND(L$4&lt;=$F5,L$4+6&gt;=$D5)</formula>
    </cfRule>
  </conditionalFormatting>
  <conditionalFormatting sqref="I5:I49">
    <cfRule type="cellIs" dxfId="1" priority="2" operator="equal">
      <formula>"Hoàn thành"</formula>
    </cfRule>
  </conditionalFormatting>
  <conditionalFormatting sqref="I5:I49">
    <cfRule type="cellIs" dxfId="2" priority="3" operator="equal">
      <formula>"Trễ tiến độ"</formula>
    </cfRule>
  </conditionalFormatting>
  <conditionalFormatting sqref="I5:I49">
    <cfRule type="cellIs" dxfId="3" priority="4" operator="equal">
      <formula>"Đang thực hiện"</formula>
    </cfRule>
  </conditionalFormatting>
  <dataValidations>
    <dataValidation type="list" allowBlank="1" sqref="I6:I8 I10:I13 I15:I17 I19:I21 I23:I24 I26:I27 I29:I36 I38:I40 I42:I44 I46:I47 I49">
      <formula1>"Chưa bắt đầu,Đang thực hiện,Hoàn thành,Trễ tiến độ"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9B8E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46.0"/>
    <col customWidth="1" min="3" max="3" width="23.29"/>
    <col customWidth="1" min="4" max="4" width="9.0"/>
    <col customWidth="1" min="5" max="5" width="13.0"/>
    <col customWidth="1" min="6" max="6" width="14.0"/>
    <col customWidth="1" min="7" max="7" width="13.0"/>
    <col customWidth="1" min="8" max="8" width="16.0"/>
    <col customWidth="1" min="9" max="9" width="20.0"/>
    <col customWidth="1" min="10" max="26" width="8.71"/>
  </cols>
  <sheetData>
    <row r="1" ht="25.5" customHeight="1">
      <c r="A1" s="29" t="s">
        <v>126</v>
      </c>
      <c r="B1" s="15"/>
      <c r="C1" s="15"/>
      <c r="D1" s="15"/>
      <c r="E1" s="15"/>
      <c r="F1" s="15"/>
      <c r="G1" s="15"/>
      <c r="H1" s="15"/>
      <c r="I1" s="16"/>
    </row>
    <row r="2" ht="25.5" customHeight="1">
      <c r="A2" s="28" t="s">
        <v>127</v>
      </c>
    </row>
    <row r="4" ht="30.0" customHeight="1">
      <c r="A4" s="17" t="s">
        <v>128</v>
      </c>
      <c r="B4" s="17" t="s">
        <v>129</v>
      </c>
      <c r="C4" s="17" t="s">
        <v>32</v>
      </c>
      <c r="D4" s="17" t="s">
        <v>130</v>
      </c>
      <c r="E4" s="17" t="s">
        <v>34</v>
      </c>
      <c r="F4" s="17" t="s">
        <v>131</v>
      </c>
      <c r="G4" s="17" t="s">
        <v>132</v>
      </c>
      <c r="H4" s="17" t="s">
        <v>37</v>
      </c>
      <c r="I4" s="17" t="s">
        <v>39</v>
      </c>
    </row>
    <row r="5">
      <c r="A5" s="39" t="s">
        <v>133</v>
      </c>
      <c r="B5" s="19" t="s">
        <v>134</v>
      </c>
      <c r="C5" s="21">
        <f>'Master Plan'!D29</f>
        <v>46296</v>
      </c>
      <c r="D5" s="18">
        <f>'Master Plan'!E29</f>
        <v>5</v>
      </c>
      <c r="E5" s="21">
        <f>'Master Plan'!F29</f>
        <v>46300</v>
      </c>
      <c r="F5" s="18">
        <v>8.0</v>
      </c>
      <c r="G5" s="19" t="s">
        <v>85</v>
      </c>
      <c r="H5" s="18" t="s">
        <v>43</v>
      </c>
      <c r="I5" s="19"/>
    </row>
    <row r="6">
      <c r="A6" s="40" t="s">
        <v>135</v>
      </c>
      <c r="B6" s="24" t="s">
        <v>136</v>
      </c>
      <c r="C6" s="26">
        <f>'Master Plan'!D30</f>
        <v>46301</v>
      </c>
      <c r="D6" s="23">
        <f>'Master Plan'!E30</f>
        <v>10</v>
      </c>
      <c r="E6" s="26">
        <f>'Master Plan'!F30</f>
        <v>46310</v>
      </c>
      <c r="F6" s="23">
        <v>21.0</v>
      </c>
      <c r="G6" s="24" t="s">
        <v>88</v>
      </c>
      <c r="H6" s="23" t="s">
        <v>43</v>
      </c>
      <c r="I6" s="24"/>
    </row>
    <row r="7">
      <c r="A7" s="39" t="s">
        <v>137</v>
      </c>
      <c r="B7" s="19" t="s">
        <v>138</v>
      </c>
      <c r="C7" s="21">
        <f>'Master Plan'!D31</f>
        <v>46311</v>
      </c>
      <c r="D7" s="18">
        <f>'Master Plan'!E31</f>
        <v>10</v>
      </c>
      <c r="E7" s="21">
        <f>'Master Plan'!F31</f>
        <v>46320</v>
      </c>
      <c r="F7" s="18">
        <v>21.0</v>
      </c>
      <c r="G7" s="19" t="s">
        <v>88</v>
      </c>
      <c r="H7" s="18" t="s">
        <v>43</v>
      </c>
      <c r="I7" s="19"/>
    </row>
    <row r="8">
      <c r="A8" s="40" t="s">
        <v>139</v>
      </c>
      <c r="B8" s="24" t="s">
        <v>140</v>
      </c>
      <c r="C8" s="26">
        <f>'Master Plan'!D32</f>
        <v>46321</v>
      </c>
      <c r="D8" s="23">
        <f>'Master Plan'!E32</f>
        <v>10</v>
      </c>
      <c r="E8" s="26">
        <f>'Master Plan'!F32</f>
        <v>46330</v>
      </c>
      <c r="F8" s="23">
        <v>23.0</v>
      </c>
      <c r="G8" s="24" t="s">
        <v>88</v>
      </c>
      <c r="H8" s="23" t="s">
        <v>43</v>
      </c>
      <c r="I8" s="24"/>
    </row>
    <row r="9">
      <c r="A9" s="39" t="s">
        <v>141</v>
      </c>
      <c r="B9" s="19" t="s">
        <v>142</v>
      </c>
      <c r="C9" s="21">
        <f>'Master Plan'!D33</f>
        <v>46331</v>
      </c>
      <c r="D9" s="18">
        <f>'Master Plan'!E33</f>
        <v>10</v>
      </c>
      <c r="E9" s="21">
        <f>'Master Plan'!F33</f>
        <v>46340</v>
      </c>
      <c r="F9" s="18">
        <v>29.0</v>
      </c>
      <c r="G9" s="19" t="s">
        <v>88</v>
      </c>
      <c r="H9" s="18" t="s">
        <v>43</v>
      </c>
      <c r="I9" s="19"/>
    </row>
    <row r="10">
      <c r="A10" s="40" t="s">
        <v>143</v>
      </c>
      <c r="B10" s="24" t="s">
        <v>144</v>
      </c>
      <c r="C10" s="26">
        <f>'Master Plan'!D34</f>
        <v>46341</v>
      </c>
      <c r="D10" s="23">
        <f>'Master Plan'!E34</f>
        <v>10</v>
      </c>
      <c r="E10" s="26">
        <f>'Master Plan'!F34</f>
        <v>46350</v>
      </c>
      <c r="F10" s="23">
        <v>23.0</v>
      </c>
      <c r="G10" s="24" t="s">
        <v>88</v>
      </c>
      <c r="H10" s="23" t="s">
        <v>43</v>
      </c>
      <c r="I10" s="24"/>
    </row>
    <row r="11">
      <c r="A11" s="39" t="s">
        <v>145</v>
      </c>
      <c r="B11" s="19" t="s">
        <v>146</v>
      </c>
      <c r="C11" s="21">
        <f>'Master Plan'!D35</f>
        <v>46351</v>
      </c>
      <c r="D11" s="18">
        <f>'Master Plan'!E35</f>
        <v>10</v>
      </c>
      <c r="E11" s="21">
        <f>'Master Plan'!F35</f>
        <v>46360</v>
      </c>
      <c r="F11" s="18">
        <v>21.0</v>
      </c>
      <c r="G11" s="19" t="s">
        <v>88</v>
      </c>
      <c r="H11" s="18" t="s">
        <v>43</v>
      </c>
      <c r="I11" s="19"/>
    </row>
    <row r="12">
      <c r="A12" s="40" t="s">
        <v>147</v>
      </c>
      <c r="B12" s="24" t="s">
        <v>148</v>
      </c>
      <c r="C12" s="26">
        <f>'Master Plan'!D36</f>
        <v>46361</v>
      </c>
      <c r="D12" s="23">
        <f>'Master Plan'!E36</f>
        <v>10</v>
      </c>
      <c r="E12" s="26">
        <f>'Master Plan'!F36</f>
        <v>46370</v>
      </c>
      <c r="F12" s="23">
        <v>21.0</v>
      </c>
      <c r="G12" s="24" t="s">
        <v>88</v>
      </c>
      <c r="H12" s="23" t="s">
        <v>43</v>
      </c>
      <c r="I12" s="24"/>
    </row>
    <row r="14" ht="18.0" customHeight="1">
      <c r="A14" s="14" t="s">
        <v>149</v>
      </c>
      <c r="B14" s="15"/>
      <c r="C14" s="15"/>
      <c r="D14" s="15"/>
      <c r="E14" s="15"/>
      <c r="F14" s="15"/>
      <c r="G14" s="15"/>
      <c r="H14" s="15"/>
      <c r="I14" s="16"/>
    </row>
    <row r="15">
      <c r="A15" s="17" t="s">
        <v>128</v>
      </c>
      <c r="B15" s="17" t="s">
        <v>150</v>
      </c>
      <c r="C15" s="17" t="s">
        <v>151</v>
      </c>
      <c r="D15" s="17" t="s">
        <v>152</v>
      </c>
      <c r="E15" s="17" t="s">
        <v>153</v>
      </c>
      <c r="F15" s="17" t="s">
        <v>154</v>
      </c>
      <c r="G15" s="17" t="s">
        <v>37</v>
      </c>
    </row>
    <row r="16">
      <c r="A16" s="23" t="s">
        <v>133</v>
      </c>
      <c r="B16" s="23" t="s">
        <v>155</v>
      </c>
      <c r="C16" s="24" t="s">
        <v>156</v>
      </c>
      <c r="D16" s="23" t="s">
        <v>157</v>
      </c>
      <c r="E16" s="23">
        <v>5.0</v>
      </c>
      <c r="F16" s="24" t="s">
        <v>158</v>
      </c>
      <c r="G16" s="23" t="s">
        <v>43</v>
      </c>
    </row>
    <row r="17">
      <c r="A17" s="18" t="s">
        <v>133</v>
      </c>
      <c r="B17" s="18" t="s">
        <v>159</v>
      </c>
      <c r="C17" s="19" t="s">
        <v>160</v>
      </c>
      <c r="D17" s="18" t="s">
        <v>157</v>
      </c>
      <c r="E17" s="18">
        <v>3.0</v>
      </c>
      <c r="F17" s="19" t="s">
        <v>161</v>
      </c>
      <c r="G17" s="18" t="s">
        <v>43</v>
      </c>
    </row>
    <row r="18">
      <c r="A18" s="23" t="s">
        <v>135</v>
      </c>
      <c r="B18" s="23" t="s">
        <v>162</v>
      </c>
      <c r="C18" s="24" t="s">
        <v>163</v>
      </c>
      <c r="D18" s="23" t="s">
        <v>157</v>
      </c>
      <c r="E18" s="23">
        <v>5.0</v>
      </c>
      <c r="F18" s="24" t="s">
        <v>88</v>
      </c>
      <c r="G18" s="23" t="s">
        <v>43</v>
      </c>
    </row>
    <row r="19">
      <c r="A19" s="18" t="s">
        <v>135</v>
      </c>
      <c r="B19" s="18" t="s">
        <v>164</v>
      </c>
      <c r="C19" s="19" t="s">
        <v>165</v>
      </c>
      <c r="D19" s="18" t="s">
        <v>157</v>
      </c>
      <c r="E19" s="18">
        <v>3.0</v>
      </c>
      <c r="F19" s="19" t="s">
        <v>88</v>
      </c>
      <c r="G19" s="18" t="s">
        <v>43</v>
      </c>
    </row>
    <row r="20">
      <c r="A20" s="23" t="s">
        <v>135</v>
      </c>
      <c r="B20" s="23" t="s">
        <v>166</v>
      </c>
      <c r="C20" s="24" t="s">
        <v>167</v>
      </c>
      <c r="D20" s="23" t="s">
        <v>157</v>
      </c>
      <c r="E20" s="23">
        <v>8.0</v>
      </c>
      <c r="F20" s="24" t="s">
        <v>88</v>
      </c>
      <c r="G20" s="23" t="s">
        <v>43</v>
      </c>
    </row>
    <row r="21" ht="15.75" customHeight="1">
      <c r="A21" s="18" t="s">
        <v>135</v>
      </c>
      <c r="B21" s="18" t="s">
        <v>168</v>
      </c>
      <c r="C21" s="19" t="s">
        <v>169</v>
      </c>
      <c r="D21" s="18" t="s">
        <v>170</v>
      </c>
      <c r="E21" s="18">
        <v>5.0</v>
      </c>
      <c r="F21" s="19" t="s">
        <v>88</v>
      </c>
      <c r="G21" s="18" t="s">
        <v>43</v>
      </c>
    </row>
    <row r="22" ht="15.75" customHeight="1">
      <c r="A22" s="23" t="s">
        <v>137</v>
      </c>
      <c r="B22" s="23" t="s">
        <v>171</v>
      </c>
      <c r="C22" s="24" t="s">
        <v>172</v>
      </c>
      <c r="D22" s="23" t="s">
        <v>157</v>
      </c>
      <c r="E22" s="23">
        <v>5.0</v>
      </c>
      <c r="F22" s="24" t="s">
        <v>88</v>
      </c>
      <c r="G22" s="23" t="s">
        <v>43</v>
      </c>
    </row>
    <row r="23" ht="15.75" customHeight="1">
      <c r="A23" s="18" t="s">
        <v>137</v>
      </c>
      <c r="B23" s="18" t="s">
        <v>173</v>
      </c>
      <c r="C23" s="19" t="s">
        <v>174</v>
      </c>
      <c r="D23" s="18" t="s">
        <v>157</v>
      </c>
      <c r="E23" s="18">
        <v>8.0</v>
      </c>
      <c r="F23" s="19" t="s">
        <v>88</v>
      </c>
      <c r="G23" s="18" t="s">
        <v>43</v>
      </c>
    </row>
    <row r="24" ht="15.75" customHeight="1">
      <c r="A24" s="23" t="s">
        <v>137</v>
      </c>
      <c r="B24" s="23" t="s">
        <v>175</v>
      </c>
      <c r="C24" s="24" t="s">
        <v>176</v>
      </c>
      <c r="D24" s="23" t="s">
        <v>157</v>
      </c>
      <c r="E24" s="23">
        <v>5.0</v>
      </c>
      <c r="F24" s="24" t="s">
        <v>88</v>
      </c>
      <c r="G24" s="23" t="s">
        <v>43</v>
      </c>
    </row>
    <row r="25" ht="15.75" customHeight="1">
      <c r="A25" s="18" t="s">
        <v>137</v>
      </c>
      <c r="B25" s="18" t="s">
        <v>177</v>
      </c>
      <c r="C25" s="19" t="s">
        <v>178</v>
      </c>
      <c r="D25" s="18" t="s">
        <v>170</v>
      </c>
      <c r="E25" s="18">
        <v>3.0</v>
      </c>
      <c r="F25" s="19" t="s">
        <v>88</v>
      </c>
      <c r="G25" s="18" t="s">
        <v>43</v>
      </c>
    </row>
    <row r="26" ht="15.75" customHeight="1">
      <c r="A26" s="23" t="s">
        <v>139</v>
      </c>
      <c r="B26" s="23" t="s">
        <v>179</v>
      </c>
      <c r="C26" s="24" t="s">
        <v>180</v>
      </c>
      <c r="D26" s="23" t="s">
        <v>157</v>
      </c>
      <c r="E26" s="23">
        <v>5.0</v>
      </c>
      <c r="F26" s="24" t="s">
        <v>88</v>
      </c>
      <c r="G26" s="23" t="s">
        <v>43</v>
      </c>
    </row>
    <row r="27" ht="15.75" customHeight="1">
      <c r="A27" s="18" t="s">
        <v>139</v>
      </c>
      <c r="B27" s="18" t="s">
        <v>181</v>
      </c>
      <c r="C27" s="19" t="s">
        <v>182</v>
      </c>
      <c r="D27" s="18" t="s">
        <v>157</v>
      </c>
      <c r="E27" s="18">
        <v>8.0</v>
      </c>
      <c r="F27" s="19" t="s">
        <v>88</v>
      </c>
      <c r="G27" s="18" t="s">
        <v>43</v>
      </c>
    </row>
    <row r="28" ht="15.75" customHeight="1">
      <c r="A28" s="23" t="s">
        <v>139</v>
      </c>
      <c r="B28" s="23" t="s">
        <v>183</v>
      </c>
      <c r="C28" s="24" t="s">
        <v>184</v>
      </c>
      <c r="D28" s="23" t="s">
        <v>170</v>
      </c>
      <c r="E28" s="23">
        <v>5.0</v>
      </c>
      <c r="F28" s="24" t="s">
        <v>88</v>
      </c>
      <c r="G28" s="23" t="s">
        <v>43</v>
      </c>
    </row>
    <row r="29" ht="15.75" customHeight="1">
      <c r="A29" s="18" t="s">
        <v>139</v>
      </c>
      <c r="B29" s="18" t="s">
        <v>185</v>
      </c>
      <c r="C29" s="19" t="s">
        <v>186</v>
      </c>
      <c r="D29" s="18" t="s">
        <v>187</v>
      </c>
      <c r="E29" s="18">
        <v>5.0</v>
      </c>
      <c r="F29" s="19" t="s">
        <v>88</v>
      </c>
      <c r="G29" s="18" t="s">
        <v>43</v>
      </c>
    </row>
    <row r="30" ht="15.75" customHeight="1">
      <c r="A30" s="23" t="s">
        <v>141</v>
      </c>
      <c r="B30" s="23" t="s">
        <v>188</v>
      </c>
      <c r="C30" s="24" t="s">
        <v>189</v>
      </c>
      <c r="D30" s="23" t="s">
        <v>157</v>
      </c>
      <c r="E30" s="23">
        <v>8.0</v>
      </c>
      <c r="F30" s="24" t="s">
        <v>88</v>
      </c>
      <c r="G30" s="23" t="s">
        <v>43</v>
      </c>
    </row>
    <row r="31" ht="15.75" customHeight="1">
      <c r="A31" s="18" t="s">
        <v>141</v>
      </c>
      <c r="B31" s="18" t="s">
        <v>190</v>
      </c>
      <c r="C31" s="19" t="s">
        <v>191</v>
      </c>
      <c r="D31" s="18" t="s">
        <v>157</v>
      </c>
      <c r="E31" s="18">
        <v>8.0</v>
      </c>
      <c r="F31" s="19" t="s">
        <v>88</v>
      </c>
      <c r="G31" s="18" t="s">
        <v>43</v>
      </c>
    </row>
    <row r="32" ht="15.75" customHeight="1">
      <c r="A32" s="23" t="s">
        <v>141</v>
      </c>
      <c r="B32" s="23" t="s">
        <v>192</v>
      </c>
      <c r="C32" s="24" t="s">
        <v>193</v>
      </c>
      <c r="D32" s="23" t="s">
        <v>170</v>
      </c>
      <c r="E32" s="23">
        <v>8.0</v>
      </c>
      <c r="F32" s="24" t="s">
        <v>88</v>
      </c>
      <c r="G32" s="23" t="s">
        <v>43</v>
      </c>
    </row>
    <row r="33" ht="15.75" customHeight="1">
      <c r="A33" s="18" t="s">
        <v>141</v>
      </c>
      <c r="B33" s="18" t="s">
        <v>194</v>
      </c>
      <c r="C33" s="19" t="s">
        <v>195</v>
      </c>
      <c r="D33" s="18" t="s">
        <v>157</v>
      </c>
      <c r="E33" s="18">
        <v>5.0</v>
      </c>
      <c r="F33" s="19" t="s">
        <v>88</v>
      </c>
      <c r="G33" s="18" t="s">
        <v>43</v>
      </c>
    </row>
    <row r="34" ht="15.75" customHeight="1">
      <c r="A34" s="23" t="s">
        <v>143</v>
      </c>
      <c r="B34" s="23" t="s">
        <v>196</v>
      </c>
      <c r="C34" s="24" t="s">
        <v>197</v>
      </c>
      <c r="D34" s="23" t="s">
        <v>157</v>
      </c>
      <c r="E34" s="23">
        <v>5.0</v>
      </c>
      <c r="F34" s="24" t="s">
        <v>88</v>
      </c>
      <c r="G34" s="23" t="s">
        <v>43</v>
      </c>
    </row>
    <row r="35" ht="15.75" customHeight="1">
      <c r="A35" s="18" t="s">
        <v>143</v>
      </c>
      <c r="B35" s="18" t="s">
        <v>198</v>
      </c>
      <c r="C35" s="19" t="s">
        <v>199</v>
      </c>
      <c r="D35" s="18" t="s">
        <v>157</v>
      </c>
      <c r="E35" s="18">
        <v>8.0</v>
      </c>
      <c r="F35" s="19" t="s">
        <v>88</v>
      </c>
      <c r="G35" s="18" t="s">
        <v>43</v>
      </c>
    </row>
    <row r="36" ht="15.75" customHeight="1">
      <c r="A36" s="23" t="s">
        <v>143</v>
      </c>
      <c r="B36" s="23" t="s">
        <v>200</v>
      </c>
      <c r="C36" s="24" t="s">
        <v>201</v>
      </c>
      <c r="D36" s="23" t="s">
        <v>170</v>
      </c>
      <c r="E36" s="23">
        <v>5.0</v>
      </c>
      <c r="F36" s="24" t="s">
        <v>88</v>
      </c>
      <c r="G36" s="23" t="s">
        <v>43</v>
      </c>
    </row>
    <row r="37" ht="15.75" customHeight="1">
      <c r="A37" s="18" t="s">
        <v>143</v>
      </c>
      <c r="B37" s="18" t="s">
        <v>202</v>
      </c>
      <c r="C37" s="19" t="s">
        <v>203</v>
      </c>
      <c r="D37" s="18" t="s">
        <v>170</v>
      </c>
      <c r="E37" s="18">
        <v>5.0</v>
      </c>
      <c r="F37" s="19" t="s">
        <v>88</v>
      </c>
      <c r="G37" s="18" t="s">
        <v>43</v>
      </c>
    </row>
    <row r="38" ht="15.75" customHeight="1">
      <c r="A38" s="23" t="s">
        <v>145</v>
      </c>
      <c r="B38" s="23" t="s">
        <v>204</v>
      </c>
      <c r="C38" s="24" t="s">
        <v>205</v>
      </c>
      <c r="D38" s="23" t="s">
        <v>157</v>
      </c>
      <c r="E38" s="23">
        <v>8.0</v>
      </c>
      <c r="F38" s="24" t="s">
        <v>88</v>
      </c>
      <c r="G38" s="23" t="s">
        <v>43</v>
      </c>
    </row>
    <row r="39" ht="15.75" customHeight="1">
      <c r="A39" s="18" t="s">
        <v>145</v>
      </c>
      <c r="B39" s="18" t="s">
        <v>206</v>
      </c>
      <c r="C39" s="19" t="s">
        <v>207</v>
      </c>
      <c r="D39" s="18" t="s">
        <v>170</v>
      </c>
      <c r="E39" s="18">
        <v>5.0</v>
      </c>
      <c r="F39" s="19" t="s">
        <v>88</v>
      </c>
      <c r="G39" s="18" t="s">
        <v>43</v>
      </c>
    </row>
    <row r="40" ht="15.75" customHeight="1">
      <c r="A40" s="23" t="s">
        <v>145</v>
      </c>
      <c r="B40" s="23" t="s">
        <v>208</v>
      </c>
      <c r="C40" s="24" t="s">
        <v>209</v>
      </c>
      <c r="D40" s="23" t="s">
        <v>170</v>
      </c>
      <c r="E40" s="23">
        <v>3.0</v>
      </c>
      <c r="F40" s="24" t="s">
        <v>88</v>
      </c>
      <c r="G40" s="23" t="s">
        <v>43</v>
      </c>
    </row>
    <row r="41" ht="15.75" customHeight="1">
      <c r="A41" s="18" t="s">
        <v>145</v>
      </c>
      <c r="B41" s="18" t="s">
        <v>210</v>
      </c>
      <c r="C41" s="19" t="s">
        <v>211</v>
      </c>
      <c r="D41" s="18" t="s">
        <v>170</v>
      </c>
      <c r="E41" s="18">
        <v>5.0</v>
      </c>
      <c r="F41" s="19" t="s">
        <v>88</v>
      </c>
      <c r="G41" s="18" t="s">
        <v>43</v>
      </c>
    </row>
    <row r="42" ht="15.75" customHeight="1">
      <c r="A42" s="23" t="s">
        <v>147</v>
      </c>
      <c r="B42" s="23" t="s">
        <v>212</v>
      </c>
      <c r="C42" s="24" t="s">
        <v>213</v>
      </c>
      <c r="D42" s="23" t="s">
        <v>157</v>
      </c>
      <c r="E42" s="23">
        <v>8.0</v>
      </c>
      <c r="F42" s="24" t="s">
        <v>88</v>
      </c>
      <c r="G42" s="23" t="s">
        <v>43</v>
      </c>
    </row>
    <row r="43" ht="15.75" customHeight="1">
      <c r="A43" s="18" t="s">
        <v>147</v>
      </c>
      <c r="B43" s="18" t="s">
        <v>214</v>
      </c>
      <c r="C43" s="19" t="s">
        <v>215</v>
      </c>
      <c r="D43" s="18" t="s">
        <v>157</v>
      </c>
      <c r="E43" s="18">
        <v>8.0</v>
      </c>
      <c r="F43" s="19" t="s">
        <v>88</v>
      </c>
      <c r="G43" s="18" t="s">
        <v>43</v>
      </c>
    </row>
    <row r="44" ht="15.75" customHeight="1">
      <c r="A44" s="23" t="s">
        <v>147</v>
      </c>
      <c r="B44" s="23" t="s">
        <v>216</v>
      </c>
      <c r="C44" s="24" t="s">
        <v>217</v>
      </c>
      <c r="D44" s="23" t="s">
        <v>157</v>
      </c>
      <c r="E44" s="23">
        <v>5.0</v>
      </c>
      <c r="F44" s="24" t="s">
        <v>88</v>
      </c>
      <c r="G44" s="23" t="s">
        <v>43</v>
      </c>
    </row>
    <row r="45" ht="15.75" customHeight="1"/>
    <row r="46" ht="15.0" customHeight="1">
      <c r="A46" s="41" t="s">
        <v>218</v>
      </c>
      <c r="B46" s="8"/>
      <c r="C46" s="8"/>
      <c r="D46" s="8"/>
      <c r="E46" s="8"/>
      <c r="F46" s="8"/>
      <c r="G46" s="42">
        <f>SUM(E16:E44)</f>
        <v>167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5:$G$44"/>
  <mergeCells count="4">
    <mergeCell ref="A1:I1"/>
    <mergeCell ref="A2:I2"/>
    <mergeCell ref="A14:I14"/>
    <mergeCell ref="A46:F46"/>
  </mergeCells>
  <conditionalFormatting sqref="D16:D44">
    <cfRule type="cellIs" dxfId="2" priority="1" operator="equal">
      <formula>"Cao"</formula>
    </cfRule>
  </conditionalFormatting>
  <conditionalFormatting sqref="D16:D44">
    <cfRule type="cellIs" dxfId="3" priority="2" operator="equal">
      <formula>"Trung bình"</formula>
    </cfRule>
  </conditionalFormatting>
  <conditionalFormatting sqref="D16:D44">
    <cfRule type="cellIs" dxfId="1" priority="3" operator="equal">
      <formula>"Thấp"</formula>
    </cfRule>
  </conditionalFormatting>
  <conditionalFormatting sqref="H5:H12">
    <cfRule type="cellIs" dxfId="1" priority="4" operator="equal">
      <formula>"Hoàn thành"</formula>
    </cfRule>
  </conditionalFormatting>
  <conditionalFormatting sqref="H5:H12">
    <cfRule type="cellIs" dxfId="2" priority="5" operator="equal">
      <formula>"Trễ tiến độ"</formula>
    </cfRule>
  </conditionalFormatting>
  <conditionalFormatting sqref="G16:G44">
    <cfRule type="cellIs" dxfId="1" priority="6" operator="equal">
      <formula>"Hoàn thành"</formula>
    </cfRule>
  </conditionalFormatting>
  <conditionalFormatting sqref="G16:G44">
    <cfRule type="cellIs" dxfId="2" priority="7" operator="equal">
      <formula>"Trễ tiến độ"</formula>
    </cfRule>
  </conditionalFormatting>
  <dataValidations>
    <dataValidation type="list" allowBlank="1" sqref="H5:H12 G16:G44">
      <formula1>"Chưa bắt đầu,Đang thực hiện,Hoàn thành,Trễ tiến độ"</formula1>
    </dataValidation>
    <dataValidation type="list" allowBlank="1" sqref="D16:D44">
      <formula1>"Cao,Trung bình,Thấp"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46.0"/>
    <col customWidth="1" min="3" max="3" width="26.0"/>
    <col customWidth="1" min="4" max="4" width="16.0"/>
    <col customWidth="1" min="5" max="7" width="14.0"/>
    <col customWidth="1" min="8" max="8" width="16.0"/>
    <col customWidth="1" min="9" max="9" width="9.0"/>
    <col customWidth="1" min="10" max="10" width="18.0"/>
    <col customWidth="1" min="11" max="26" width="8.71"/>
  </cols>
  <sheetData>
    <row r="1" ht="25.5" customHeight="1">
      <c r="A1" s="29" t="s">
        <v>219</v>
      </c>
      <c r="B1" s="15"/>
      <c r="C1" s="15"/>
      <c r="D1" s="15"/>
      <c r="E1" s="15"/>
      <c r="F1" s="15"/>
      <c r="G1" s="15"/>
      <c r="H1" s="15"/>
      <c r="I1" s="15"/>
      <c r="J1" s="16"/>
    </row>
    <row r="3" ht="30.0" customHeight="1">
      <c r="A3" s="17" t="s">
        <v>220</v>
      </c>
      <c r="B3" s="17" t="s">
        <v>221</v>
      </c>
      <c r="C3" s="17" t="s">
        <v>222</v>
      </c>
      <c r="D3" s="17" t="s">
        <v>223</v>
      </c>
      <c r="E3" s="17" t="s">
        <v>224</v>
      </c>
      <c r="F3" s="17" t="s">
        <v>37</v>
      </c>
      <c r="G3" s="17" t="s">
        <v>225</v>
      </c>
      <c r="H3" s="17" t="s">
        <v>226</v>
      </c>
      <c r="I3" s="17" t="s">
        <v>227</v>
      </c>
      <c r="J3" s="17" t="s">
        <v>39</v>
      </c>
    </row>
    <row r="4">
      <c r="A4" s="23" t="s">
        <v>228</v>
      </c>
      <c r="B4" s="24" t="s">
        <v>229</v>
      </c>
      <c r="C4" s="24" t="s">
        <v>230</v>
      </c>
      <c r="D4" s="24" t="s">
        <v>41</v>
      </c>
      <c r="E4" s="26"/>
      <c r="F4" s="23" t="s">
        <v>43</v>
      </c>
      <c r="G4" s="26"/>
      <c r="H4" s="24"/>
      <c r="I4" s="23" t="s">
        <v>231</v>
      </c>
      <c r="J4" s="24"/>
    </row>
    <row r="5">
      <c r="A5" s="18" t="s">
        <v>232</v>
      </c>
      <c r="B5" s="19" t="s">
        <v>233</v>
      </c>
      <c r="C5" s="19" t="s">
        <v>234</v>
      </c>
      <c r="D5" s="19" t="s">
        <v>41</v>
      </c>
      <c r="E5" s="21"/>
      <c r="F5" s="18" t="s">
        <v>43</v>
      </c>
      <c r="G5" s="21"/>
      <c r="H5" s="19"/>
      <c r="I5" s="18" t="s">
        <v>231</v>
      </c>
      <c r="J5" s="19"/>
    </row>
    <row r="6">
      <c r="A6" s="23" t="s">
        <v>235</v>
      </c>
      <c r="B6" s="24" t="s">
        <v>236</v>
      </c>
      <c r="C6" s="24" t="s">
        <v>234</v>
      </c>
      <c r="D6" s="24" t="s">
        <v>51</v>
      </c>
      <c r="E6" s="26"/>
      <c r="F6" s="23" t="s">
        <v>43</v>
      </c>
      <c r="G6" s="26"/>
      <c r="H6" s="24"/>
      <c r="I6" s="23" t="s">
        <v>231</v>
      </c>
      <c r="J6" s="24"/>
    </row>
    <row r="7">
      <c r="A7" s="18" t="s">
        <v>237</v>
      </c>
      <c r="B7" s="19" t="s">
        <v>238</v>
      </c>
      <c r="C7" s="19" t="s">
        <v>234</v>
      </c>
      <c r="D7" s="19" t="s">
        <v>54</v>
      </c>
      <c r="E7" s="21"/>
      <c r="F7" s="18" t="s">
        <v>43</v>
      </c>
      <c r="G7" s="21"/>
      <c r="H7" s="19"/>
      <c r="I7" s="18" t="s">
        <v>231</v>
      </c>
      <c r="J7" s="19"/>
    </row>
    <row r="8">
      <c r="A8" s="23" t="s">
        <v>239</v>
      </c>
      <c r="B8" s="24" t="s">
        <v>240</v>
      </c>
      <c r="C8" s="24" t="s">
        <v>234</v>
      </c>
      <c r="D8" s="24" t="s">
        <v>54</v>
      </c>
      <c r="E8" s="26"/>
      <c r="F8" s="23" t="s">
        <v>43</v>
      </c>
      <c r="G8" s="26"/>
      <c r="H8" s="24"/>
      <c r="I8" s="23" t="s">
        <v>231</v>
      </c>
      <c r="J8" s="24"/>
    </row>
    <row r="9">
      <c r="A9" s="18" t="s">
        <v>241</v>
      </c>
      <c r="B9" s="19" t="s">
        <v>242</v>
      </c>
      <c r="C9" s="19" t="s">
        <v>243</v>
      </c>
      <c r="D9" s="19" t="s">
        <v>41</v>
      </c>
      <c r="E9" s="21"/>
      <c r="F9" s="18" t="s">
        <v>43</v>
      </c>
      <c r="G9" s="21"/>
      <c r="H9" s="19"/>
      <c r="I9" s="18" t="s">
        <v>231</v>
      </c>
      <c r="J9" s="19"/>
    </row>
    <row r="10">
      <c r="A10" s="23" t="s">
        <v>244</v>
      </c>
      <c r="B10" s="24" t="s">
        <v>245</v>
      </c>
      <c r="C10" s="24" t="s">
        <v>243</v>
      </c>
      <c r="D10" s="24" t="s">
        <v>61</v>
      </c>
      <c r="E10" s="26"/>
      <c r="F10" s="23" t="s">
        <v>43</v>
      </c>
      <c r="G10" s="26"/>
      <c r="H10" s="24"/>
      <c r="I10" s="23" t="s">
        <v>231</v>
      </c>
      <c r="J10" s="24"/>
    </row>
    <row r="11">
      <c r="A11" s="18" t="s">
        <v>246</v>
      </c>
      <c r="B11" s="19" t="s">
        <v>247</v>
      </c>
      <c r="C11" s="19" t="s">
        <v>243</v>
      </c>
      <c r="D11" s="19" t="s">
        <v>64</v>
      </c>
      <c r="E11" s="21"/>
      <c r="F11" s="18" t="s">
        <v>43</v>
      </c>
      <c r="G11" s="21"/>
      <c r="H11" s="19"/>
      <c r="I11" s="18" t="s">
        <v>231</v>
      </c>
      <c r="J11" s="19"/>
    </row>
    <row r="12">
      <c r="A12" s="23" t="s">
        <v>248</v>
      </c>
      <c r="B12" s="24" t="s">
        <v>249</v>
      </c>
      <c r="C12" s="24" t="s">
        <v>250</v>
      </c>
      <c r="D12" s="24" t="s">
        <v>72</v>
      </c>
      <c r="E12" s="26"/>
      <c r="F12" s="23" t="s">
        <v>43</v>
      </c>
      <c r="G12" s="26"/>
      <c r="H12" s="24"/>
      <c r="I12" s="23" t="s">
        <v>231</v>
      </c>
      <c r="J12" s="24"/>
    </row>
    <row r="13">
      <c r="A13" s="18" t="s">
        <v>251</v>
      </c>
      <c r="B13" s="19" t="s">
        <v>252</v>
      </c>
      <c r="C13" s="19" t="s">
        <v>253</v>
      </c>
      <c r="D13" s="19" t="s">
        <v>75</v>
      </c>
      <c r="E13" s="21"/>
      <c r="F13" s="18" t="s">
        <v>43</v>
      </c>
      <c r="G13" s="21"/>
      <c r="H13" s="19"/>
      <c r="I13" s="18" t="s">
        <v>231</v>
      </c>
      <c r="J13" s="19"/>
    </row>
    <row r="14">
      <c r="A14" s="23" t="s">
        <v>254</v>
      </c>
      <c r="B14" s="24" t="s">
        <v>255</v>
      </c>
      <c r="C14" s="24" t="s">
        <v>256</v>
      </c>
      <c r="D14" s="24" t="s">
        <v>80</v>
      </c>
      <c r="E14" s="26"/>
      <c r="F14" s="23" t="s">
        <v>43</v>
      </c>
      <c r="G14" s="26"/>
      <c r="H14" s="24"/>
      <c r="I14" s="23" t="s">
        <v>231</v>
      </c>
      <c r="J14" s="24"/>
    </row>
    <row r="15">
      <c r="A15" s="18" t="s">
        <v>257</v>
      </c>
      <c r="B15" s="19" t="s">
        <v>258</v>
      </c>
      <c r="C15" s="19" t="s">
        <v>259</v>
      </c>
      <c r="D15" s="19" t="s">
        <v>103</v>
      </c>
      <c r="E15" s="21"/>
      <c r="F15" s="18" t="s">
        <v>43</v>
      </c>
      <c r="G15" s="21"/>
      <c r="H15" s="19"/>
      <c r="I15" s="18" t="s">
        <v>231</v>
      </c>
      <c r="J15" s="19"/>
    </row>
    <row r="16">
      <c r="A16" s="23" t="s">
        <v>260</v>
      </c>
      <c r="B16" s="24" t="s">
        <v>261</v>
      </c>
      <c r="C16" s="24" t="s">
        <v>259</v>
      </c>
      <c r="D16" s="24" t="s">
        <v>106</v>
      </c>
      <c r="E16" s="26"/>
      <c r="F16" s="23" t="s">
        <v>43</v>
      </c>
      <c r="G16" s="26"/>
      <c r="H16" s="24"/>
      <c r="I16" s="23" t="s">
        <v>231</v>
      </c>
      <c r="J16" s="24"/>
    </row>
    <row r="17">
      <c r="A17" s="18" t="s">
        <v>262</v>
      </c>
      <c r="B17" s="19" t="s">
        <v>263</v>
      </c>
      <c r="C17" s="19" t="s">
        <v>264</v>
      </c>
      <c r="D17" s="19" t="s">
        <v>117</v>
      </c>
      <c r="E17" s="21"/>
      <c r="F17" s="18" t="s">
        <v>43</v>
      </c>
      <c r="G17" s="21"/>
      <c r="H17" s="19"/>
      <c r="I17" s="18" t="s">
        <v>231</v>
      </c>
      <c r="J17" s="19"/>
    </row>
    <row r="18">
      <c r="A18" s="23" t="s">
        <v>265</v>
      </c>
      <c r="B18" s="24" t="s">
        <v>266</v>
      </c>
      <c r="C18" s="24" t="s">
        <v>264</v>
      </c>
      <c r="D18" s="24" t="s">
        <v>111</v>
      </c>
      <c r="E18" s="26"/>
      <c r="F18" s="23" t="s">
        <v>43</v>
      </c>
      <c r="G18" s="26"/>
      <c r="H18" s="24"/>
      <c r="I18" s="23" t="s">
        <v>231</v>
      </c>
      <c r="J18" s="24"/>
    </row>
    <row r="19">
      <c r="A19" s="18" t="s">
        <v>267</v>
      </c>
      <c r="B19" s="19" t="s">
        <v>268</v>
      </c>
      <c r="C19" s="19" t="s">
        <v>264</v>
      </c>
      <c r="D19" s="19" t="s">
        <v>114</v>
      </c>
      <c r="E19" s="21"/>
      <c r="F19" s="18" t="s">
        <v>43</v>
      </c>
      <c r="G19" s="21"/>
      <c r="H19" s="19"/>
      <c r="I19" s="18" t="s">
        <v>231</v>
      </c>
      <c r="J19" s="19"/>
    </row>
    <row r="20">
      <c r="A20" s="23" t="s">
        <v>269</v>
      </c>
      <c r="B20" s="24" t="s">
        <v>270</v>
      </c>
      <c r="C20" s="24" t="s">
        <v>271</v>
      </c>
      <c r="D20" s="24" t="s">
        <v>72</v>
      </c>
      <c r="E20" s="26"/>
      <c r="F20" s="23" t="s">
        <v>43</v>
      </c>
      <c r="G20" s="26"/>
      <c r="H20" s="24"/>
      <c r="I20" s="23" t="s">
        <v>231</v>
      </c>
      <c r="J20" s="24"/>
    </row>
    <row r="21" ht="15.75" customHeight="1">
      <c r="A21" s="18" t="s">
        <v>272</v>
      </c>
      <c r="B21" s="19" t="s">
        <v>273</v>
      </c>
      <c r="C21" s="19" t="s">
        <v>274</v>
      </c>
      <c r="D21" s="19" t="s">
        <v>75</v>
      </c>
      <c r="E21" s="21"/>
      <c r="F21" s="18" t="s">
        <v>43</v>
      </c>
      <c r="G21" s="21"/>
      <c r="H21" s="19"/>
      <c r="I21" s="18" t="s">
        <v>231</v>
      </c>
      <c r="J21" s="1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21"/>
  <mergeCells count="1">
    <mergeCell ref="A1:J1"/>
  </mergeCells>
  <conditionalFormatting sqref="F4:F21">
    <cfRule type="cellIs" dxfId="1" priority="1" operator="equal">
      <formula>"Đã xác nhận"</formula>
    </cfRule>
  </conditionalFormatting>
  <conditionalFormatting sqref="F4:F21">
    <cfRule type="cellIs" dxfId="3" priority="2" operator="equal">
      <formula>"Chờ duyệt"</formula>
    </cfRule>
  </conditionalFormatting>
  <dataValidations>
    <dataValidation type="list" allowBlank="1" sqref="F4:F21">
      <formula1>"Chưa bắt đầu,Đang soạn thảo,Chờ duyệt,Đã xác nhận"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4" width="38.0"/>
    <col customWidth="1" min="5" max="5" width="20.0"/>
    <col customWidth="1" min="6" max="6" width="18.0"/>
    <col customWidth="1" min="7" max="8" width="15.0"/>
    <col customWidth="1" min="9" max="26" width="8.71"/>
  </cols>
  <sheetData>
    <row r="1" ht="25.5" customHeight="1">
      <c r="A1" s="29" t="s">
        <v>275</v>
      </c>
      <c r="B1" s="15"/>
      <c r="C1" s="15"/>
      <c r="D1" s="15"/>
      <c r="E1" s="15"/>
      <c r="F1" s="15"/>
      <c r="G1" s="15"/>
      <c r="H1" s="16"/>
    </row>
    <row r="3" ht="33.75" customHeight="1">
      <c r="A3" s="17" t="s">
        <v>10</v>
      </c>
      <c r="B3" s="17" t="s">
        <v>276</v>
      </c>
      <c r="C3" s="17" t="s">
        <v>277</v>
      </c>
      <c r="D3" s="17" t="s">
        <v>278</v>
      </c>
      <c r="E3" s="17" t="s">
        <v>279</v>
      </c>
      <c r="F3" s="17" t="s">
        <v>280</v>
      </c>
      <c r="G3" s="17" t="s">
        <v>37</v>
      </c>
      <c r="H3" s="17" t="s">
        <v>281</v>
      </c>
    </row>
    <row r="4">
      <c r="A4" s="23">
        <v>1.0</v>
      </c>
      <c r="B4" s="24" t="s">
        <v>282</v>
      </c>
      <c r="C4" s="24" t="s">
        <v>283</v>
      </c>
      <c r="D4" s="24" t="s">
        <v>284</v>
      </c>
      <c r="E4" s="24" t="s">
        <v>114</v>
      </c>
      <c r="F4" s="24" t="s">
        <v>120</v>
      </c>
      <c r="G4" s="23" t="s">
        <v>285</v>
      </c>
      <c r="H4" s="26"/>
    </row>
    <row r="5">
      <c r="A5" s="18">
        <v>2.0</v>
      </c>
      <c r="B5" s="19" t="s">
        <v>286</v>
      </c>
      <c r="C5" s="19" t="s">
        <v>287</v>
      </c>
      <c r="D5" s="19" t="s">
        <v>288</v>
      </c>
      <c r="E5" s="19" t="s">
        <v>61</v>
      </c>
      <c r="F5" s="19" t="s">
        <v>120</v>
      </c>
      <c r="G5" s="18" t="s">
        <v>285</v>
      </c>
      <c r="H5" s="21"/>
    </row>
    <row r="6">
      <c r="A6" s="23">
        <v>3.0</v>
      </c>
      <c r="B6" s="24" t="s">
        <v>289</v>
      </c>
      <c r="C6" s="24" t="s">
        <v>290</v>
      </c>
      <c r="D6" s="24" t="s">
        <v>291</v>
      </c>
      <c r="E6" s="24" t="s">
        <v>292</v>
      </c>
      <c r="F6" s="24" t="s">
        <v>120</v>
      </c>
      <c r="G6" s="23" t="s">
        <v>285</v>
      </c>
      <c r="H6" s="26"/>
    </row>
    <row r="7">
      <c r="A7" s="18">
        <v>4.0</v>
      </c>
      <c r="B7" s="19" t="s">
        <v>293</v>
      </c>
      <c r="C7" s="19" t="s">
        <v>294</v>
      </c>
      <c r="D7" s="19" t="s">
        <v>295</v>
      </c>
      <c r="E7" s="19" t="s">
        <v>111</v>
      </c>
      <c r="F7" s="19" t="s">
        <v>106</v>
      </c>
      <c r="G7" s="18" t="s">
        <v>285</v>
      </c>
      <c r="H7" s="21"/>
    </row>
    <row r="8">
      <c r="A8" s="23">
        <v>5.0</v>
      </c>
      <c r="B8" s="24" t="s">
        <v>296</v>
      </c>
      <c r="C8" s="24" t="s">
        <v>297</v>
      </c>
      <c r="D8" s="24" t="s">
        <v>298</v>
      </c>
      <c r="E8" s="24" t="s">
        <v>117</v>
      </c>
      <c r="F8" s="24" t="s">
        <v>120</v>
      </c>
      <c r="G8" s="23" t="s">
        <v>285</v>
      </c>
      <c r="H8" s="26"/>
    </row>
    <row r="9">
      <c r="A9" s="18">
        <v>6.0</v>
      </c>
      <c r="B9" s="19" t="s">
        <v>299</v>
      </c>
      <c r="C9" s="19" t="s">
        <v>300</v>
      </c>
      <c r="D9" s="19" t="s">
        <v>301</v>
      </c>
      <c r="E9" s="19" t="s">
        <v>41</v>
      </c>
      <c r="F9" s="19" t="s">
        <v>120</v>
      </c>
      <c r="G9" s="18" t="s">
        <v>285</v>
      </c>
      <c r="H9" s="21"/>
    </row>
    <row r="10">
      <c r="A10" s="23">
        <v>7.0</v>
      </c>
      <c r="B10" s="24" t="s">
        <v>302</v>
      </c>
      <c r="C10" s="24" t="s">
        <v>303</v>
      </c>
      <c r="D10" s="24" t="s">
        <v>304</v>
      </c>
      <c r="E10" s="24" t="s">
        <v>75</v>
      </c>
      <c r="F10" s="24" t="s">
        <v>120</v>
      </c>
      <c r="G10" s="23" t="s">
        <v>285</v>
      </c>
      <c r="H10" s="26"/>
    </row>
    <row r="11">
      <c r="A11" s="18">
        <v>8.0</v>
      </c>
      <c r="B11" s="19" t="s">
        <v>305</v>
      </c>
      <c r="C11" s="19" t="s">
        <v>306</v>
      </c>
      <c r="D11" s="19" t="s">
        <v>307</v>
      </c>
      <c r="E11" s="19" t="s">
        <v>75</v>
      </c>
      <c r="F11" s="19" t="s">
        <v>120</v>
      </c>
      <c r="G11" s="18" t="s">
        <v>285</v>
      </c>
      <c r="H11" s="21"/>
    </row>
    <row r="14" ht="15.0" customHeight="1">
      <c r="A14" s="43" t="s">
        <v>308</v>
      </c>
      <c r="E14" s="43" t="s">
        <v>309</v>
      </c>
    </row>
    <row r="15" ht="18.0" customHeight="1">
      <c r="A15" s="44" t="s">
        <v>310</v>
      </c>
      <c r="E15" s="44" t="s">
        <v>310</v>
      </c>
    </row>
    <row r="16" ht="18.0" customHeight="1"/>
    <row r="17" ht="18.0" customHeight="1"/>
    <row r="18" ht="18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11"/>
  <mergeCells count="5">
    <mergeCell ref="A1:H1"/>
    <mergeCell ref="A14:D14"/>
    <mergeCell ref="E14:H14"/>
    <mergeCell ref="A15:D18"/>
    <mergeCell ref="E15:H18"/>
  </mergeCells>
  <conditionalFormatting sqref="G4:G11">
    <cfRule type="cellIs" dxfId="1" priority="1" operator="equal">
      <formula>"Đã nghiệm thu"</formula>
    </cfRule>
  </conditionalFormatting>
  <conditionalFormatting sqref="G4:G11">
    <cfRule type="cellIs" dxfId="4" priority="2" operator="equal">
      <formula>"Đã bàn giao"</formula>
    </cfRule>
  </conditionalFormatting>
  <dataValidations>
    <dataValidation type="list" allowBlank="1" sqref="G4:G11">
      <formula1>"Chưa thực hiện,Đang thực hiện,Đã bàn giao,Đã nghiệm thu"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2026-07-11T23:35:29Z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