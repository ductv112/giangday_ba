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Master Plan" sheetId="2" state="visible" r:id="rId4"/>
    <sheet name="Ghi chú &amp; Giả định" sheetId="3" state="visible" r:id="rId5"/>
  </sheets>
  <definedNames>
    <definedName function="false" hidden="false" localSheetId="1" name="_xlnm.Print_Titles" vbProcedure="false">'Master Plan'!$1:$4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<sst xmlns="http://schemas.openxmlformats.org/spreadsheetml/2006/main" count="257" uniqueCount="183">
  <si>
    <t xml:space="preserve">TỔNG QUAN TIẾN ĐỘ DỰ ÁN — MASTER PLAN THỎ XING</t>
  </si>
  <si>
    <t xml:space="preserve">Toàn bộ số liệu bên dưới được tính tự động từ sheet "Master Plan" — chỉ cần cập nhật Trạng thái ở đó, bảng này sẽ tự làm mới.</t>
  </si>
  <si>
    <t xml:space="preserve">TỔNG SỐ HẠNG MỤC</t>
  </si>
  <si>
    <t xml:space="preserve">ĐÃ HOÀN THÀNH</t>
  </si>
  <si>
    <t xml:space="preserve">ĐANG THỰC HIỆN</t>
  </si>
  <si>
    <t xml:space="preserve">CHƯA BẮT ĐẦU</t>
  </si>
  <si>
    <t xml:space="preserve">% HOÀN THÀNH TỔNG THỂ</t>
  </si>
  <si>
    <t xml:space="preserve">TRỄ HẠN (TỰ ĐỘNG PHÁT HIỆN)</t>
  </si>
  <si>
    <t xml:space="preserve">THỜI GIAN DỰ ÁN (TUẦN)</t>
  </si>
  <si>
    <t xml:space="preserve">TRỄ TIẾN ĐỘ (THỦ CÔNG)</t>
  </si>
  <si>
    <t xml:space="preserve">Ngày bắt đầu dự án:</t>
  </si>
  <si>
    <t xml:space="preserve">Ngày kết thúc dự kiến (chưa gồm bảo hành):</t>
  </si>
  <si>
    <t xml:space="preserve">TIẾN ĐỘ THEO TỪNG GIAI ĐOẠN</t>
  </si>
  <si>
    <t xml:space="preserve">Giai đoạn</t>
  </si>
  <si>
    <t xml:space="preserve">Số hạng mục</t>
  </si>
  <si>
    <t xml:space="preserve">Hoàn thành</t>
  </si>
  <si>
    <t xml:space="preserve">% Hoàn thành</t>
  </si>
  <si>
    <t xml:space="preserve">1. Khảo sát &amp; Thu thập yêu cầu</t>
  </si>
  <si>
    <t xml:space="preserve">2. Phân tích &amp; Thiết kế nghiệp vụ</t>
  </si>
  <si>
    <t xml:space="preserve">3. Thiết kế kỹ thuật &amp; UI/UX</t>
  </si>
  <si>
    <t xml:space="preserve">4. Soạn thảo &amp; Hoàn thiện tài liệu</t>
  </si>
  <si>
    <t xml:space="preserve">5. Xác nhận tài liệu (Confirm)</t>
  </si>
  <si>
    <t xml:space="preserve">6. Kick-off dự án</t>
  </si>
  <si>
    <t xml:space="preserve">7. Phát triển (Agile Scrum)</t>
  </si>
  <si>
    <t xml:space="preserve">8. Kiểm thử hệ thống (SIT)</t>
  </si>
  <si>
    <t xml:space="preserve">9. UAT (User Acceptance Testing)</t>
  </si>
  <si>
    <t xml:space="preserve">10. Bàn giao &amp; Chuyển giao</t>
  </si>
  <si>
    <t xml:space="preserve">11. Nghiệm thu &amp; Bảo hành</t>
  </si>
  <si>
    <t xml:space="preserve">CHÚ GIẢI TRẠNG THÁI</t>
  </si>
  <si>
    <t xml:space="preserve">Chưa bắt đầu</t>
  </si>
  <si>
    <t xml:space="preserve">Đang thực hiện</t>
  </si>
  <si>
    <t xml:space="preserve">Trễ tiến độ</t>
  </si>
  <si>
    <t xml:space="preserve">MASTER PLAN DỰ ÁN SỐ HOÁ TRUNG TÂM BẢO HÀNH – BẢO DƯỠNG "THỎ XING"</t>
  </si>
  <si>
    <t xml:space="preserve">App Mobile (Khách hàng) + Web hệ thống (Trung tâm)  |  Mô hình triển khai: Waterfall (giai đoạn đầu) kết hợp Agile Scrum (giai đoạn phát triển)</t>
  </si>
  <si>
    <t xml:space="preserve">TIMELINE DỰ ÁN (THEO TUẦN) — mỗi cột = 1 tuần, màu theo Giai đoạn</t>
  </si>
  <si>
    <t xml:space="preserve">STT</t>
  </si>
  <si>
    <t xml:space="preserve">Giai đoạn (Phase)</t>
  </si>
  <si>
    <t xml:space="preserve">Hạng mục công việc / Sprint</t>
  </si>
  <si>
    <t xml:space="preserve">Mô tả ngắn</t>
  </si>
  <si>
    <t xml:space="preserve">Người phụ trách</t>
  </si>
  <si>
    <t xml:space="preserve">Số ngày</t>
  </si>
  <si>
    <t xml:space="preserve">Ngày bắt đầu</t>
  </si>
  <si>
    <t xml:space="preserve">Ngày kết thúc</t>
  </si>
  <si>
    <t xml:space="preserve">Đầu ra (Deliverable)</t>
  </si>
  <si>
    <t xml:space="preserve">Trạng thái</t>
  </si>
  <si>
    <t xml:space="preserve">Tuần 1
03/08</t>
  </si>
  <si>
    <t xml:space="preserve">Tuần 2
10/08</t>
  </si>
  <si>
    <t xml:space="preserve">Tuần 3
17/08</t>
  </si>
  <si>
    <t xml:space="preserve">Tuần 4
24/08</t>
  </si>
  <si>
    <t xml:space="preserve">Tuần 5
31/08</t>
  </si>
  <si>
    <t xml:space="preserve">Tuần 6
07/09</t>
  </si>
  <si>
    <t xml:space="preserve">Tuần 7
14/09</t>
  </si>
  <si>
    <t xml:space="preserve">Tuần 8
21/09</t>
  </si>
  <si>
    <t xml:space="preserve">Tuần 9
28/09</t>
  </si>
  <si>
    <t xml:space="preserve">Tuần 10
05/10</t>
  </si>
  <si>
    <t xml:space="preserve">Tuần 11
12/10</t>
  </si>
  <si>
    <t xml:space="preserve">Tuần 12
19/10</t>
  </si>
  <si>
    <t xml:space="preserve">Tuần 13
26/10</t>
  </si>
  <si>
    <t xml:space="preserve">Tuần 14
02/11</t>
  </si>
  <si>
    <t xml:space="preserve">Tuần 15
09/11</t>
  </si>
  <si>
    <t xml:space="preserve">Tuần 16
16/11</t>
  </si>
  <si>
    <t xml:space="preserve">Tuần 17
23/11</t>
  </si>
  <si>
    <t xml:space="preserve">Tuần 18
30/11</t>
  </si>
  <si>
    <t xml:space="preserve">Tuần 19
07/12</t>
  </si>
  <si>
    <t xml:space="preserve">Tuần 20
14/12</t>
  </si>
  <si>
    <t xml:space="preserve">Tuần 21
21/12</t>
  </si>
  <si>
    <t xml:space="preserve">Tuần 22
28/12</t>
  </si>
  <si>
    <t xml:space="preserve">Tuần 23
04/01</t>
  </si>
  <si>
    <t xml:space="preserve">Phase (helper)</t>
  </si>
  <si>
    <t xml:space="preserve">Khảo sát hiện trạng quy trình bảo hành tại trung tâm</t>
  </si>
  <si>
    <t xml:space="preserve">Phỏng vấn nhân viên tiếp nhận, thợ, thủ kho; quan sát quy trình thực tế</t>
  </si>
  <si>
    <t xml:space="preserve">BA</t>
  </si>
  <si>
    <t xml:space="preserve">Biên bản khảo sát hiện trạng</t>
  </si>
  <si>
    <t xml:space="preserve">Thu thập yêu cầu khách hàng &amp; lãnh đạo</t>
  </si>
  <si>
    <t xml:space="preserve">Họp với ban lãnh đạo Thỏ Xing, xác định mục tiêu &amp; phạm vi</t>
  </si>
  <si>
    <t xml:space="preserve">Benchmark giải pháp tương tự trên thị trường</t>
  </si>
  <si>
    <t xml:space="preserve">Tham khảo app/web quản lý bảo hành của các chuỗi khác</t>
  </si>
  <si>
    <t xml:space="preserve">Xây dựng BRD (Business Requirement Document)</t>
  </si>
  <si>
    <t xml:space="preserve">Tài liệu yêu cầu nghiệp vụ tổng thể</t>
  </si>
  <si>
    <t xml:space="preserve">BRD (Business Requirement Document)</t>
  </si>
  <si>
    <t xml:space="preserve">Xây dựng Function List (2 cấp) &amp; Use Case Spec</t>
  </si>
  <si>
    <t xml:space="preserve">Bóc tách chức năng lớn/nhỏ, viết đặc tả use case</t>
  </si>
  <si>
    <t xml:space="preserve">Function List 2 cấp + Use Case Spec</t>
  </si>
  <si>
    <t xml:space="preserve">Vẽ Business Process Flow &amp; 5 luồng chức năng chính</t>
  </si>
  <si>
    <t xml:space="preserve">Sơ đồ nghiệp vụ tổng thể + flowchart chi tiết</t>
  </si>
  <si>
    <t xml:space="preserve">Business Process Chart + 5 Flowchart</t>
  </si>
  <si>
    <t xml:space="preserve">Thiết kế UI/UX (Wireframe → Mockup → Prototype)</t>
  </si>
  <si>
    <t xml:space="preserve">Thiết kế màn hình App &amp; Web, prototype tương tác</t>
  </si>
  <si>
    <t xml:space="preserve">UI/UX Designer</t>
  </si>
  <si>
    <t xml:space="preserve">Wireframe/Mockup/Prototype UI-UX</t>
  </si>
  <si>
    <t xml:space="preserve">Thiết kế kiến trúc hệ thống &amp; ERD</t>
  </si>
  <si>
    <t xml:space="preserve">SRS kỹ thuật, sơ đồ kiến trúc, thiết kế CSDL</t>
  </si>
  <si>
    <t xml:space="preserve">Solution Architect</t>
  </si>
  <si>
    <t xml:space="preserve">SRS kỹ thuật + ERD</t>
  </si>
  <si>
    <t xml:space="preserve">Tổng hợp BRD + SRS + UI/UX thành bộ hồ sơ hoàn chỉnh</t>
  </si>
  <si>
    <t xml:space="preserve">Chuẩn hoá &amp; trình bày thống nhất toàn bộ tài liệu</t>
  </si>
  <si>
    <t xml:space="preserve">Bộ hồ sơ yêu cầu hoàn chỉnh</t>
  </si>
  <si>
    <t xml:space="preserve">Review nội bộ (QA tài liệu)</t>
  </si>
  <si>
    <t xml:space="preserve">PM/Lead rà soát chất lượng &amp; tính nhất quán tài liệu</t>
  </si>
  <si>
    <t xml:space="preserve">PM/Team Lead</t>
  </si>
  <si>
    <t xml:space="preserve">Trình bày tài liệu cho khách hàng Thỏ Xing</t>
  </si>
  <si>
    <t xml:space="preserve">Buổi họp trình bày BRD/SRS/UI cho khách hàng</t>
  </si>
  <si>
    <t xml:space="preserve">BA/PM</t>
  </si>
  <si>
    <t xml:space="preserve">Thu thập phản hồi &amp; chỉnh sửa tài liệu</t>
  </si>
  <si>
    <t xml:space="preserve">Điều chỉnh theo góp ý của khách hàng</t>
  </si>
  <si>
    <t xml:space="preserve">Khách hàng ký xác nhận (Sign-off)</t>
  </si>
  <si>
    <t xml:space="preserve">Chốt phạm vi &amp; baseline yêu cầu chính thức</t>
  </si>
  <si>
    <t xml:space="preserve">Khách hàng / PM</t>
  </si>
  <si>
    <t xml:space="preserve">Biên bản Sign-off yêu cầu</t>
  </si>
  <si>
    <t xml:space="preserve">Họp Kick-off nội bộ đội dự án</t>
  </si>
  <si>
    <t xml:space="preserve">Phổ biến mục tiêu, phạm vi, vai trò cho toàn đội</t>
  </si>
  <si>
    <t xml:space="preserve">PM</t>
  </si>
  <si>
    <t xml:space="preserve">Biên bản Kick-off</t>
  </si>
  <si>
    <t xml:space="preserve">Chuyển giao (Transfer) tài liệu cho đội phát triển</t>
  </si>
  <si>
    <t xml:space="preserve">Bàn giao BRD/SRS/UI/UX &amp; Function List cho Dev Team</t>
  </si>
  <si>
    <t xml:space="preserve">BA → Dev Team</t>
  </si>
  <si>
    <t xml:space="preserve">Biên bản bàn giao yêu cầu cho Dev</t>
  </si>
  <si>
    <t xml:space="preserve">Sprint 0 – Setup môi trường &amp; kiến trúc nền tảng</t>
  </si>
  <si>
    <t xml:space="preserve">Khởi tạo repo, CI/CD, cấu hình môi trường Dev/Staging</t>
  </si>
  <si>
    <t xml:space="preserve">Dev Team</t>
  </si>
  <si>
    <t xml:space="preserve">Môi trường Dev/Staging + CI/CD</t>
  </si>
  <si>
    <t xml:space="preserve">Sprint 1 – Module Tài khoản &amp; Đăng nhập (App+Web)</t>
  </si>
  <si>
    <t xml:space="preserve">Đăng ký/đăng nhập, phân quyền, hồ sơ người dùng</t>
  </si>
  <si>
    <t xml:space="preserve">Module Tài khoản (App+Web)</t>
  </si>
  <si>
    <t xml:space="preserve">Sprint 2 – Module Đặt lịch &amp; Tiếp nhận đơn</t>
  </si>
  <si>
    <t xml:space="preserve">App đặt lịch bảo hành; Web tiếp nhận &amp; xác nhận đơn</t>
  </si>
  <si>
    <t xml:space="preserve">Module Đặt lịch &amp; Tiếp nhận đơn</t>
  </si>
  <si>
    <t xml:space="preserve">Sprint 3 – Module Điều phối thợ</t>
  </si>
  <si>
    <t xml:space="preserve">Gán thợ, lịch làm việc thợ, thông báo điều phối</t>
  </si>
  <si>
    <t xml:space="preserve">Module Điều phối thợ</t>
  </si>
  <si>
    <t xml:space="preserve">Sprint 4 – Module Kho linh kiện &amp; Cấp phát</t>
  </si>
  <si>
    <t xml:space="preserve">Quản lý tồn kho, yêu cầu &amp; duyệt cấp phát linh kiện</t>
  </si>
  <si>
    <t xml:space="preserve">Module Kho &amp; Cấp phát linh kiện</t>
  </si>
  <si>
    <t xml:space="preserve">Sprint 5 – Module Theo dõi tiến độ &amp; Thông báo</t>
  </si>
  <si>
    <t xml:space="preserve">Timeline trạng thái đơn, push notification, đánh giá</t>
  </si>
  <si>
    <t xml:space="preserve">Module Theo dõi tiến độ &amp; Thông báo</t>
  </si>
  <si>
    <t xml:space="preserve">Sprint 6 – Báo cáo, thống kê &amp; hoàn thiện</t>
  </si>
  <si>
    <t xml:space="preserve">Dashboard, báo cáo hiệu suất, hoàn thiện UI toàn hệ thống</t>
  </si>
  <si>
    <t xml:space="preserve">Module Báo cáo &amp; Dashboard</t>
  </si>
  <si>
    <t xml:space="preserve">Sprint 7 – Buffer, sửa lỗi &amp; tối ưu hiệu năng</t>
  </si>
  <si>
    <t xml:space="preserve">Regression fix, tối ưu tốc độ, chuẩn bị release</t>
  </si>
  <si>
    <t xml:space="preserve">Build ổn định, sẵn sàng release</t>
  </si>
  <si>
    <t xml:space="preserve">System Integration Testing</t>
  </si>
  <si>
    <t xml:space="preserve">Kiểm thử tích hợp toàn bộ App + Web + API</t>
  </si>
  <si>
    <t xml:space="preserve">QA Team</t>
  </si>
  <si>
    <t xml:space="preserve">Báo cáo kết quả SIT</t>
  </si>
  <si>
    <t xml:space="preserve">Khách hàng kiểm thử nghiệm thu chức năng</t>
  </si>
  <si>
    <t xml:space="preserve">Thỏ Xing trực tiếp thử nghiệm theo kịch bản UAT</t>
  </si>
  <si>
    <t xml:space="preserve">Khách hàng + QA</t>
  </si>
  <si>
    <t xml:space="preserve">Biên bản UAT</t>
  </si>
  <si>
    <t xml:space="preserve">Tổng hợp lỗi &amp; chỉnh sửa theo phản hồi UAT</t>
  </si>
  <si>
    <t xml:space="preserve">Fix bug phát sinh trong quá trình UAT</t>
  </si>
  <si>
    <t xml:space="preserve">Bug list đã fix, build UAT v2</t>
  </si>
  <si>
    <t xml:space="preserve">Triển khai lên môi trường Production</t>
  </si>
  <si>
    <t xml:space="preserve">Deploy chính thức, cấu hình domain/server thật</t>
  </si>
  <si>
    <t xml:space="preserve">DevOps</t>
  </si>
  <si>
    <t xml:space="preserve">Hệ thống Production live</t>
  </si>
  <si>
    <t xml:space="preserve">Đào tạo &amp; bàn giao vận hành cho Thỏ Xing</t>
  </si>
  <si>
    <t xml:space="preserve">Training nhân viên tiếp nhận, điều phối, thủ kho, quản lý</t>
  </si>
  <si>
    <t xml:space="preserve">PM/BA</t>
  </si>
  <si>
    <t xml:space="preserve">Tài liệu hướng dẫn sử dụng + đội ngũ được đào tạo</t>
  </si>
  <si>
    <t xml:space="preserve">Ký biên bản nghiệm thu dự án</t>
  </si>
  <si>
    <t xml:space="preserve">Xác nhận hoàn thành theo hợp đồng</t>
  </si>
  <si>
    <t xml:space="preserve">PM/Khách hàng</t>
  </si>
  <si>
    <t xml:space="preserve">Biên bản nghiệm thu dự án</t>
  </si>
  <si>
    <t xml:space="preserve">Bảo hành &amp; hỗ trợ kỹ thuật sau bàn giao</t>
  </si>
  <si>
    <t xml:space="preserve">Hỗ trợ sửa lỗi, theo dõi vận hành ổn định</t>
  </si>
  <si>
    <t xml:space="preserve">Báo cáo bảo hành định kỳ</t>
  </si>
  <si>
    <t xml:space="preserve">Chú giải màu Timeline (theo Giai đoạn) — xem chi tiết bên dưới</t>
  </si>
  <si>
    <t xml:space="preserve">CHÚ GIẢI MÀU SẮC THEO GIAI ĐOẠN</t>
  </si>
  <si>
    <t xml:space="preserve">GHI CHÚ &amp; GIẢ ĐỊNH CỦA MASTER PLAN</t>
  </si>
  <si>
    <t xml:space="preserve">1</t>
  </si>
  <si>
    <t xml:space="preserve">Ngày bắt đầu dự án giả định là 03/08/2026 (Thứ Hai) — có thể chỉnh sửa tại ô G5, toàn bộ lịch trình sẽ tự động dịch chuyển theo (các ô Ngày bắt đầu/kết thúc dùng công thức liên kết chuỗi).</t>
  </si>
  <si>
    <t xml:space="preserve">2</t>
  </si>
  <si>
    <t xml:space="preserve">Số ngày (cột F) tính theo NGÀY LÀM VIỆC LIÊN TỤC ước lượng — nhóm dự án nên điều chỉnh lại theo năng lực đội ngũ thực tế và ngày nghỉ lễ.</t>
  </si>
  <si>
    <t xml:space="preserve">3</t>
  </si>
  <si>
    <t xml:space="preserve">Giai đoạn 7 (Phát triển) áp dụng Agile Scrum, mỗi Sprint thường quy ước 2 tuần (10 ngày làm việc), riêng Sprint 0 và Sprint 7 rút gọn còn 1 tuần (buffer/setup).</t>
  </si>
  <si>
    <t xml:space="preserve">4</t>
  </si>
  <si>
    <t xml:space="preserve">Cột 'Trạng thái' là danh sách thả xuống (dropdown) để đội dự án cập nhật tiến độ thực tế trong quá trình triển khai.</t>
  </si>
  <si>
    <t xml:space="preserve">5</t>
  </si>
  <si>
    <t xml:space="preserve">Tổng thời gian ước tính toàn dự án: từ Khảo sát đến Nghiệm thu (chưa gồm 30 ngày bảo hành) khoảng 4.5 - 5 tháng — cần Khách hàng và đội dự án xác nhận lại mức độ khả thi.</t>
  </si>
  <si>
    <t xml:space="preserve">6</t>
  </si>
  <si>
    <t xml:space="preserve">Đây là kế hoạch sơ bộ (baseline) phục vụ trình bày &amp; thống nhất phạm vi — cần review chi tiết hơn theo effort estimation thực tế (Planning Poker) trước khi cam kết chính thức với khách hàng.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</si>
</sst>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"/>
    <numFmt numFmtId="168" formatCode="dd/mm/yyyy"/>
    <numFmt numFmtId="169" formatCode="General"/>
    <numFmt numFmtId="170" formatCode="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7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9"/>
      <color rgb="FF4B5563"/>
      <name val="Arial"/>
      <family val="0"/>
      <charset val="1"/>
    </font>
    <font>
      <b val="true"/>
      <sz val="26"/>
      <color rgb="FF2C3E93"/>
      <name val="Arial"/>
      <family val="0"/>
      <charset val="1"/>
    </font>
    <font>
      <b val="true"/>
      <sz val="26"/>
      <color rgb="FF15803D"/>
      <name val="Arial"/>
      <family val="0"/>
      <charset val="1"/>
    </font>
    <font>
      <b val="true"/>
      <sz val="26"/>
      <color rgb="FF1D4ED8"/>
      <name val="Arial"/>
      <family val="0"/>
      <charset val="1"/>
    </font>
    <font>
      <b val="true"/>
      <sz val="26"/>
      <color rgb="FF6B7280"/>
      <name val="Arial"/>
      <family val="0"/>
      <charset val="1"/>
    </font>
    <font>
      <b val="true"/>
      <sz val="26"/>
      <color rgb="FFB91C1C"/>
      <name val="Arial"/>
      <family val="0"/>
      <charset val="1"/>
    </font>
    <font>
      <b val="true"/>
      <sz val="26"/>
      <color rgb="FFB45309"/>
      <name val="Arial"/>
      <family val="0"/>
      <charset val="1"/>
    </font>
    <font>
      <sz val="10"/>
      <color rgb="FF4B5563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3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i val="true"/>
      <sz val="10"/>
      <color rgb="FF4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.5"/>
      <color rgb="FF111827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EEF2FF"/>
        <bgColor rgb="FFF3F4F6"/>
      </patternFill>
    </fill>
    <fill>
      <patternFill patternType="solid">
        <fgColor rgb="FFDCFCE7"/>
        <bgColor rgb="FFEEF2FF"/>
      </patternFill>
    </fill>
    <fill>
      <patternFill patternType="solid">
        <fgColor rgb="FFDBEAFE"/>
        <bgColor rgb="FFE5E7EB"/>
      </patternFill>
    </fill>
    <fill>
      <patternFill patternType="solid">
        <fgColor rgb="FFF3F4F6"/>
        <bgColor rgb="FFEEF2FF"/>
      </patternFill>
    </fill>
    <fill>
      <patternFill patternType="solid">
        <fgColor rgb="FFFEE2E2"/>
        <bgColor rgb="FFE5E7EB"/>
      </patternFill>
    </fill>
    <fill>
      <patternFill patternType="solid">
        <fgColor rgb="FFFFF7E6"/>
        <bgColor rgb="FFF8FAFC"/>
      </patternFill>
    </fill>
    <fill>
      <patternFill patternType="solid">
        <fgColor rgb="FF111827"/>
        <bgColor rgb="FF000000"/>
      </patternFill>
    </fill>
    <fill>
      <patternFill patternType="solid">
        <fgColor rgb="FF2C3E93"/>
        <bgColor rgb="FF34495E"/>
      </patternFill>
    </fill>
    <fill>
      <patternFill patternType="solid">
        <fgColor rgb="FF1F6FB2"/>
        <bgColor rgb="FF1D4ED8"/>
      </patternFill>
    </fill>
    <fill>
      <patternFill patternType="solid">
        <fgColor rgb="FFF8FAFC"/>
        <bgColor rgb="FFFFFFFF"/>
      </patternFill>
    </fill>
    <fill>
      <patternFill patternType="solid">
        <fgColor rgb="FF1B998B"/>
        <bgColor rgb="FF16A085"/>
      </patternFill>
    </fill>
    <fill>
      <patternFill patternType="solid">
        <fgColor rgb="FF2E9E5B"/>
        <bgColor rgb="FF16A085"/>
      </patternFill>
    </fill>
    <fill>
      <patternFill patternType="solid">
        <fgColor rgb="FFF2A20C"/>
        <bgColor rgb="FFFFCC00"/>
      </patternFill>
    </fill>
    <fill>
      <patternFill patternType="solid">
        <fgColor rgb="FFE8590C"/>
        <bgColor rgb="FFB45309"/>
      </patternFill>
    </fill>
    <fill>
      <patternFill patternType="solid">
        <fgColor rgb="FF8E44AD"/>
        <bgColor rgb="FF6B7280"/>
      </patternFill>
    </fill>
    <fill>
      <patternFill patternType="solid">
        <fgColor rgb="FFC0392B"/>
        <bgColor rgb="FFB91C1C"/>
      </patternFill>
    </fill>
    <fill>
      <patternFill patternType="solid">
        <fgColor rgb="FFD6336C"/>
        <bgColor rgb="FFC0392B"/>
      </patternFill>
    </fill>
    <fill>
      <patternFill patternType="solid">
        <fgColor rgb="FF16A085"/>
        <bgColor rgb="FF1B998B"/>
      </patternFill>
    </fill>
    <fill>
      <patternFill patternType="solid">
        <fgColor rgb="FF34495E"/>
        <bgColor rgb="FF4B5563"/>
      </patternFill>
    </fill>
    <fill>
      <patternFill patternType="solid">
        <fgColor rgb="FFFFFFFF"/>
        <bgColor rgb="FFF8FAF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2C3E93"/>
      </bottom>
      <diagonal/>
    </border>
    <border diagonalUp="false" diagonalDown="false">
      <left/>
      <right/>
      <top style="thin">
        <color rgb="FFEEF2FF"/>
      </top>
      <bottom/>
      <diagonal/>
    </border>
    <border diagonalUp="false" diagonalDown="false">
      <left/>
      <right/>
      <top style="thin">
        <color rgb="FFDCFCE7"/>
      </top>
      <bottom/>
      <diagonal/>
    </border>
    <border diagonalUp="false" diagonalDown="false">
      <left/>
      <right/>
      <top style="thin">
        <color rgb="FFDBEAFE"/>
      </top>
      <bottom/>
      <diagonal/>
    </border>
    <border diagonalUp="false" diagonalDown="false">
      <left/>
      <right/>
      <top style="thin">
        <color rgb="FFF3F4F6"/>
      </top>
      <bottom/>
      <diagonal/>
    </border>
    <border diagonalUp="false" diagonalDown="false">
      <left/>
      <right/>
      <top/>
      <bottom style="thin">
        <color rgb="FFEEF2FF"/>
      </bottom>
      <diagonal/>
    </border>
    <border diagonalUp="false" diagonalDown="false">
      <left/>
      <right/>
      <top/>
      <bottom style="thin">
        <color rgb="FFDCFCE7"/>
      </bottom>
      <diagonal/>
    </border>
    <border diagonalUp="false" diagonalDown="false">
      <left/>
      <right/>
      <top/>
      <bottom style="thin">
        <color rgb="FFDBEAFE"/>
      </bottom>
      <diagonal/>
    </border>
    <border diagonalUp="false" diagonalDown="false">
      <left/>
      <right/>
      <top/>
      <bottom style="thin">
        <color rgb="FFF3F4F6"/>
      </bottom>
      <diagonal/>
    </border>
    <border diagonalUp="false" diagonalDown="false">
      <left/>
      <right/>
      <top style="thin">
        <color rgb="FFFEE2E2"/>
      </top>
      <bottom/>
      <diagonal/>
    </border>
    <border diagonalUp="false" diagonalDown="false">
      <left/>
      <right/>
      <top style="thin">
        <color rgb="FFFFF7E6"/>
      </top>
      <bottom/>
      <diagonal/>
    </border>
    <border diagonalUp="false" diagonalDown="false">
      <left/>
      <right/>
      <top/>
      <bottom style="thin">
        <color rgb="FFFEE2E2"/>
      </bottom>
      <diagonal/>
    </border>
    <border diagonalUp="false" diagonalDown="false">
      <left/>
      <right/>
      <top/>
      <bottom style="thin">
        <color rgb="FFFFF7E6"/>
      </bottom>
      <diagonal/>
    </border>
    <border diagonalUp="false" diagonalDown="false">
      <left/>
      <right/>
      <top/>
      <bottom style="medium">
        <color rgb="FF111827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111827"/>
      </top>
      <bottom style="thin">
        <color rgb="FFD1D5DB"/>
      </bottom>
      <diagonal/>
    </border>
    <border diagonalUp="false" diagonalDown="false">
      <left style="thin">
        <color rgb="FFE5E7EB"/>
      </left>
      <right style="thin">
        <color rgb="FFE5E7EB"/>
      </right>
      <top style="medium">
        <color rgb="FF111827"/>
      </top>
      <bottom style="thin">
        <color rgb="FFE5E7EB"/>
      </bottom>
      <diagonal/>
    </border>
    <border diagonalUp="false" diagonalDown="false">
      <left style="medium">
        <color rgb="FF2C3E93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1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1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9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2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FAFC"/>
        </patternFill>
      </fill>
    </dxf>
    <dxf>
      <font>
        <name val="Arial"/>
        <charset val="1"/>
        <family val="0"/>
        <b val="1"/>
        <color rgb="FF6B7280"/>
        <sz val="10"/>
      </font>
      <fill>
        <patternFill>
          <bgColor rgb="FFF3F4F6"/>
        </patternFill>
      </fill>
    </dxf>
    <dxf>
      <font>
        <name val="Arial"/>
        <charset val="1"/>
        <family val="0"/>
        <b val="1"/>
        <color rgb="FF1D4ED8"/>
        <sz val="10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15803D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B91C1C"/>
        <sz val="10"/>
      </font>
      <fill>
        <patternFill>
          <bgColor rgb="FFFEE2E2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91C1C"/>
      <rgbColor rgb="FF15803D"/>
      <rgbColor rgb="FF000080"/>
      <rgbColor rgb="FFB45309"/>
      <rgbColor rgb="FF800080"/>
      <rgbColor rgb="FF1B998B"/>
      <rgbColor rgb="FFEEF2FF"/>
      <rgbColor rgb="FF808080"/>
      <rgbColor rgb="FF9999FF"/>
      <rgbColor rgb="FF8E44AD"/>
      <rgbColor rgb="FFFFF7E6"/>
      <rgbColor rgb="FFDCFCE7"/>
      <rgbColor rgb="FF660066"/>
      <rgbColor rgb="FFFF8080"/>
      <rgbColor rgb="FF1F6FB2"/>
      <rgbColor rgb="FFD1D5DB"/>
      <rgbColor rgb="FF000080"/>
      <rgbColor rgb="FFFF00FF"/>
      <rgbColor rgb="FFFFFF00"/>
      <rgbColor rgb="FF00FFFF"/>
      <rgbColor rgb="FF800080"/>
      <rgbColor rgb="FF800000"/>
      <rgbColor rgb="FF16A085"/>
      <rgbColor rgb="FF0000FF"/>
      <rgbColor rgb="FF00CCFF"/>
      <rgbColor rgb="FFDBEAFE"/>
      <rgbColor rgb="FFE5E7EB"/>
      <rgbColor rgb="FFF3F4F6"/>
      <rgbColor rgb="FFF8FAFC"/>
      <rgbColor rgb="FFFF99CC"/>
      <rgbColor rgb="FFCC99FF"/>
      <rgbColor rgb="FFFEE2E2"/>
      <rgbColor rgb="FF1D4ED8"/>
      <rgbColor rgb="FF33CCCC"/>
      <rgbColor rgb="FF99CC00"/>
      <rgbColor rgb="FFFFCC00"/>
      <rgbColor rgb="FFF2A20C"/>
      <rgbColor rgb="FFE8590C"/>
      <rgbColor rgb="FF6B7280"/>
      <rgbColor rgb="FF969696"/>
      <rgbColor rgb="FF003366"/>
      <rgbColor rgb="FF2E9E5B"/>
      <rgbColor rgb="FF111827"/>
      <rgbColor rgb="FF4B5563"/>
      <rgbColor rgb="FFC0392B"/>
      <rgbColor rgb="FFD6336C"/>
      <rgbColor rgb="FF2C3E93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827"/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  <col collapsed="false" customWidth="true" hidden="false" outlineLevel="0" max="10" min="9" style="1" width="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6"/>
      <c r="G4" s="7" t="s">
        <v>5</v>
      </c>
      <c r="H4" s="7"/>
    </row>
    <row r="5" customFormat="false" ht="15" hidden="false" customHeight="true" outlineLevel="0" collapsed="false">
      <c r="A5" s="8" t="n">
        <f aca="false">COUNT('Master Plan'!A5:A34)</f>
        <v>30</v>
      </c>
      <c r="B5" s="8"/>
      <c r="C5" s="9" t="n">
        <f aca="false">COUNTIF('Master Plan'!J5:J34,"Hoàn thành")</f>
        <v>0</v>
      </c>
      <c r="D5" s="9"/>
      <c r="E5" s="10" t="n">
        <f aca="false">COUNTIF('Master Plan'!J5:J34,"Đang thực hiện")</f>
        <v>0</v>
      </c>
      <c r="F5" s="10"/>
      <c r="G5" s="11" t="n">
        <f aca="false">COUNTIF('Master Plan'!J5:J34,"Chưa bắt đầu")</f>
        <v>30</v>
      </c>
      <c r="H5" s="11"/>
    </row>
    <row r="6" customFormat="false" ht="15" hidden="false" customHeight="true" outlineLevel="0" collapsed="false">
      <c r="A6" s="8"/>
      <c r="B6" s="8"/>
      <c r="C6" s="9"/>
      <c r="D6" s="9"/>
      <c r="E6" s="10"/>
      <c r="F6" s="10"/>
      <c r="G6" s="11"/>
      <c r="H6" s="11"/>
    </row>
    <row r="8" customFormat="false" ht="15" hidden="false" customHeight="true" outlineLevel="0" collapsed="false">
      <c r="A8" s="4" t="s">
        <v>6</v>
      </c>
      <c r="B8" s="4"/>
      <c r="C8" s="12" t="s">
        <v>7</v>
      </c>
      <c r="D8" s="12"/>
      <c r="E8" s="13" t="s">
        <v>8</v>
      </c>
      <c r="F8" s="13"/>
      <c r="G8" s="12" t="s">
        <v>9</v>
      </c>
      <c r="H8" s="12"/>
    </row>
    <row r="9" customFormat="false" ht="15" hidden="false" customHeight="true" outlineLevel="0" collapsed="false">
      <c r="A9" s="14" t="n">
        <f aca="false">COUNTIF('Master Plan'!J5:J34,"Hoàn thành")/COUNT('Master Plan'!A5:A34)</f>
        <v>0</v>
      </c>
      <c r="B9" s="14"/>
      <c r="C9" s="15" t="n">
        <f aca="true">COUNTIFS('Master Plan'!H5:H34,"&lt;"&amp;TODAY(),'Master Plan'!J5:J34,"&lt;&gt;Hoàn thành")</f>
        <v>0</v>
      </c>
      <c r="D9" s="15"/>
      <c r="E9" s="16" t="n">
        <f aca="false">(MAX('Master Plan'!H5:H34)-MIN('Master Plan'!G5:G34)+1)/7</f>
        <v>21.5714285714286</v>
      </c>
      <c r="F9" s="16"/>
      <c r="G9" s="15" t="n">
        <f aca="false">COUNTIF('Master Plan'!J5:J34,"Trễ tiến độ")</f>
        <v>0</v>
      </c>
      <c r="H9" s="15"/>
    </row>
    <row r="10" customFormat="false" ht="15" hidden="false" customHeight="true" outlineLevel="0" collapsed="false">
      <c r="A10" s="14"/>
      <c r="B10" s="14"/>
      <c r="C10" s="15"/>
      <c r="D10" s="15"/>
      <c r="E10" s="16"/>
      <c r="F10" s="16"/>
      <c r="G10" s="15"/>
      <c r="H10" s="15"/>
    </row>
    <row r="11" customFormat="false" ht="15" hidden="false" customHeight="true" outlineLevel="0" collapsed="false">
      <c r="A11" s="17" t="s">
        <v>10</v>
      </c>
      <c r="B11" s="17"/>
      <c r="C11" s="17"/>
      <c r="D11" s="17"/>
      <c r="E11" s="18" t="n">
        <f aca="false">MIN('Master Plan'!G5:G34)</f>
        <v>46237</v>
      </c>
      <c r="F11" s="18"/>
      <c r="G11" s="18"/>
      <c r="H11" s="18"/>
    </row>
    <row r="12" customFormat="false" ht="15" hidden="false" customHeight="true" outlineLevel="0" collapsed="false">
      <c r="A12" s="17" t="s">
        <v>11</v>
      </c>
      <c r="B12" s="17"/>
      <c r="C12" s="17"/>
      <c r="D12" s="17"/>
      <c r="E12" s="18" t="n">
        <f aca="false">MAX('Master Plan'!H5:H34)</f>
        <v>46387</v>
      </c>
      <c r="F12" s="18"/>
      <c r="G12" s="18"/>
      <c r="H12" s="18"/>
    </row>
    <row r="15" customFormat="false" ht="15.75" hidden="false" customHeight="true" outlineLevel="0" collapsed="false">
      <c r="A15" s="19" t="s">
        <v>12</v>
      </c>
      <c r="B15" s="19"/>
      <c r="C15" s="19"/>
      <c r="D15" s="19"/>
      <c r="E15" s="19"/>
      <c r="F15" s="19"/>
      <c r="G15" s="19"/>
      <c r="H15" s="19"/>
    </row>
    <row r="16" customFormat="false" ht="19.5" hidden="false" customHeight="true" outlineLevel="0" collapsed="false">
      <c r="A16" s="20"/>
      <c r="B16" s="21" t="s">
        <v>13</v>
      </c>
      <c r="C16" s="21"/>
      <c r="D16" s="21"/>
      <c r="E16" s="20" t="s">
        <v>14</v>
      </c>
      <c r="F16" s="20" t="s">
        <v>15</v>
      </c>
      <c r="G16" s="21" t="s">
        <v>16</v>
      </c>
      <c r="H16" s="21"/>
    </row>
    <row r="17" customFormat="false" ht="18" hidden="false" customHeight="true" outlineLevel="0" collapsed="false">
      <c r="A17" s="22"/>
      <c r="B17" s="23" t="s">
        <v>17</v>
      </c>
      <c r="C17" s="23"/>
      <c r="D17" s="23"/>
      <c r="E17" s="24" t="n">
        <f aca="false">COUNTIF('Master Plan'!$AI$5:$AI$34,$B17)</f>
        <v>3</v>
      </c>
      <c r="F17" s="24" t="n">
        <f aca="false">COUNTIFS('Master Plan'!$AI$5:$AI$34,$B17,'Master Plan'!$J$5:$J$34,"Hoàn thành")</f>
        <v>0</v>
      </c>
      <c r="G17" s="25" t="n">
        <f aca="false">IFERROR(F17/E17,0)</f>
        <v>0</v>
      </c>
      <c r="H17" s="25"/>
    </row>
    <row r="18" customFormat="false" ht="18" hidden="false" customHeight="true" outlineLevel="0" collapsed="false">
      <c r="A18" s="26"/>
      <c r="B18" s="27" t="s">
        <v>18</v>
      </c>
      <c r="C18" s="27"/>
      <c r="D18" s="27"/>
      <c r="E18" s="28" t="n">
        <f aca="false">COUNTIF('Master Plan'!$AI$5:$AI$34,$B18)</f>
        <v>3</v>
      </c>
      <c r="F18" s="28" t="n">
        <f aca="false">COUNTIFS('Master Plan'!$AI$5:$AI$34,$B18,'Master Plan'!$J$5:$J$34,"Hoàn thành")</f>
        <v>0</v>
      </c>
      <c r="G18" s="29" t="n">
        <f aca="false">IFERROR(F18/E18,0)</f>
        <v>0</v>
      </c>
      <c r="H18" s="29"/>
    </row>
    <row r="19" customFormat="false" ht="18" hidden="false" customHeight="true" outlineLevel="0" collapsed="false">
      <c r="A19" s="30"/>
      <c r="B19" s="23" t="s">
        <v>19</v>
      </c>
      <c r="C19" s="23"/>
      <c r="D19" s="23"/>
      <c r="E19" s="24" t="n">
        <f aca="false">COUNTIF('Master Plan'!$AI$5:$AI$34,$B19)</f>
        <v>2</v>
      </c>
      <c r="F19" s="24" t="n">
        <f aca="false">COUNTIFS('Master Plan'!$AI$5:$AI$34,$B19,'Master Plan'!$J$5:$J$34,"Hoàn thành")</f>
        <v>0</v>
      </c>
      <c r="G19" s="25" t="n">
        <f aca="false">IFERROR(F19/E19,0)</f>
        <v>0</v>
      </c>
      <c r="H19" s="25"/>
    </row>
    <row r="20" customFormat="false" ht="18" hidden="false" customHeight="true" outlineLevel="0" collapsed="false">
      <c r="A20" s="31"/>
      <c r="B20" s="27" t="s">
        <v>20</v>
      </c>
      <c r="C20" s="27"/>
      <c r="D20" s="27"/>
      <c r="E20" s="28" t="n">
        <f aca="false">COUNTIF('Master Plan'!$AI$5:$AI$34,$B20)</f>
        <v>2</v>
      </c>
      <c r="F20" s="28" t="n">
        <f aca="false">COUNTIFS('Master Plan'!$AI$5:$AI$34,$B20,'Master Plan'!$J$5:$J$34,"Hoàn thành")</f>
        <v>0</v>
      </c>
      <c r="G20" s="29" t="n">
        <f aca="false">IFERROR(F20/E20,0)</f>
        <v>0</v>
      </c>
      <c r="H20" s="29"/>
    </row>
    <row r="21" customFormat="false" ht="18" hidden="false" customHeight="true" outlineLevel="0" collapsed="false">
      <c r="A21" s="32"/>
      <c r="B21" s="23" t="s">
        <v>21</v>
      </c>
      <c r="C21" s="23"/>
      <c r="D21" s="23"/>
      <c r="E21" s="24" t="n">
        <f aca="false">COUNTIF('Master Plan'!$AI$5:$AI$34,$B21)</f>
        <v>3</v>
      </c>
      <c r="F21" s="24" t="n">
        <f aca="false">COUNTIFS('Master Plan'!$AI$5:$AI$34,$B21,'Master Plan'!$J$5:$J$34,"Hoàn thành")</f>
        <v>0</v>
      </c>
      <c r="G21" s="25" t="n">
        <f aca="false">IFERROR(F21/E21,0)</f>
        <v>0</v>
      </c>
      <c r="H21" s="25"/>
    </row>
    <row r="22" customFormat="false" ht="18" hidden="false" customHeight="true" outlineLevel="0" collapsed="false">
      <c r="A22" s="33"/>
      <c r="B22" s="27" t="s">
        <v>22</v>
      </c>
      <c r="C22" s="27"/>
      <c r="D22" s="27"/>
      <c r="E22" s="28" t="n">
        <f aca="false">COUNTIF('Master Plan'!$AI$5:$AI$34,$B22)</f>
        <v>2</v>
      </c>
      <c r="F22" s="28" t="n">
        <f aca="false">COUNTIFS('Master Plan'!$AI$5:$AI$34,$B22,'Master Plan'!$J$5:$J$34,"Hoàn thành")</f>
        <v>0</v>
      </c>
      <c r="G22" s="29" t="n">
        <f aca="false">IFERROR(F22/E22,0)</f>
        <v>0</v>
      </c>
      <c r="H22" s="29"/>
    </row>
    <row r="23" customFormat="false" ht="18" hidden="false" customHeight="true" outlineLevel="0" collapsed="false">
      <c r="A23" s="34"/>
      <c r="B23" s="23" t="s">
        <v>23</v>
      </c>
      <c r="C23" s="23"/>
      <c r="D23" s="23"/>
      <c r="E23" s="24" t="n">
        <f aca="false">COUNTIF('Master Plan'!$AI$5:$AI$34,$B23)</f>
        <v>8</v>
      </c>
      <c r="F23" s="24" t="n">
        <f aca="false">COUNTIFS('Master Plan'!$AI$5:$AI$34,$B23,'Master Plan'!$J$5:$J$34,"Hoàn thành")</f>
        <v>0</v>
      </c>
      <c r="G23" s="25" t="n">
        <f aca="false">IFERROR(F23/E23,0)</f>
        <v>0</v>
      </c>
      <c r="H23" s="25"/>
    </row>
    <row r="24" customFormat="false" ht="18" hidden="false" customHeight="true" outlineLevel="0" collapsed="false">
      <c r="A24" s="35"/>
      <c r="B24" s="27" t="s">
        <v>24</v>
      </c>
      <c r="C24" s="27"/>
      <c r="D24" s="27"/>
      <c r="E24" s="28" t="n">
        <f aca="false">COUNTIF('Master Plan'!$AI$5:$AI$34,$B24)</f>
        <v>1</v>
      </c>
      <c r="F24" s="28" t="n">
        <f aca="false">COUNTIFS('Master Plan'!$AI$5:$AI$34,$B24,'Master Plan'!$J$5:$J$34,"Hoàn thành")</f>
        <v>0</v>
      </c>
      <c r="G24" s="29" t="n">
        <f aca="false">IFERROR(F24/E24,0)</f>
        <v>0</v>
      </c>
      <c r="H24" s="29"/>
    </row>
    <row r="25" customFormat="false" ht="18" hidden="false" customHeight="true" outlineLevel="0" collapsed="false">
      <c r="A25" s="36"/>
      <c r="B25" s="23" t="s">
        <v>25</v>
      </c>
      <c r="C25" s="23"/>
      <c r="D25" s="23"/>
      <c r="E25" s="24" t="n">
        <f aca="false">COUNTIF('Master Plan'!$AI$5:$AI$34,$B25)</f>
        <v>2</v>
      </c>
      <c r="F25" s="24" t="n">
        <f aca="false">COUNTIFS('Master Plan'!$AI$5:$AI$34,$B25,'Master Plan'!$J$5:$J$34,"Hoàn thành")</f>
        <v>0</v>
      </c>
      <c r="G25" s="25" t="n">
        <f aca="false">IFERROR(F25/E25,0)</f>
        <v>0</v>
      </c>
      <c r="H25" s="25"/>
    </row>
    <row r="26" customFormat="false" ht="18" hidden="false" customHeight="true" outlineLevel="0" collapsed="false">
      <c r="A26" s="37"/>
      <c r="B26" s="27" t="s">
        <v>26</v>
      </c>
      <c r="C26" s="27"/>
      <c r="D26" s="27"/>
      <c r="E26" s="28" t="n">
        <f aca="false">COUNTIF('Master Plan'!$AI$5:$AI$34,$B26)</f>
        <v>2</v>
      </c>
      <c r="F26" s="28" t="n">
        <f aca="false">COUNTIFS('Master Plan'!$AI$5:$AI$34,$B26,'Master Plan'!$J$5:$J$34,"Hoàn thành")</f>
        <v>0</v>
      </c>
      <c r="G26" s="29" t="n">
        <f aca="false">IFERROR(F26/E26,0)</f>
        <v>0</v>
      </c>
      <c r="H26" s="29"/>
    </row>
    <row r="27" customFormat="false" ht="18" hidden="false" customHeight="true" outlineLevel="0" collapsed="false">
      <c r="A27" s="38"/>
      <c r="B27" s="23" t="s">
        <v>27</v>
      </c>
      <c r="C27" s="23"/>
      <c r="D27" s="23"/>
      <c r="E27" s="24" t="n">
        <f aca="false">COUNTIF('Master Plan'!$AI$5:$AI$34,$B27)</f>
        <v>2</v>
      </c>
      <c r="F27" s="24" t="n">
        <f aca="false">COUNTIFS('Master Plan'!$AI$5:$AI$34,$B27,'Master Plan'!$J$5:$J$34,"Hoàn thành")</f>
        <v>0</v>
      </c>
      <c r="G27" s="25" t="n">
        <f aca="false">IFERROR(F27/E27,0)</f>
        <v>0</v>
      </c>
      <c r="H27" s="25"/>
    </row>
    <row r="29" customFormat="false" ht="15" hidden="false" customHeight="true" outlineLevel="0" collapsed="false">
      <c r="A29" s="39" t="s">
        <v>28</v>
      </c>
      <c r="B29" s="39"/>
      <c r="C29" s="39"/>
      <c r="D29" s="39"/>
      <c r="E29" s="39"/>
      <c r="F29" s="39"/>
      <c r="G29" s="39"/>
      <c r="H29" s="39"/>
    </row>
    <row r="30" customFormat="false" ht="15" hidden="false" customHeight="true" outlineLevel="0" collapsed="false">
      <c r="A30" s="40"/>
      <c r="B30" s="41" t="s">
        <v>29</v>
      </c>
      <c r="C30" s="42"/>
      <c r="D30" s="43" t="s">
        <v>30</v>
      </c>
      <c r="E30" s="44"/>
      <c r="F30" s="45" t="s">
        <v>15</v>
      </c>
      <c r="G30" s="46"/>
      <c r="H30" s="47" t="s">
        <v>31</v>
      </c>
    </row>
  </sheetData>
  <mergeCells count="48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B8"/>
    <mergeCell ref="C8:D8"/>
    <mergeCell ref="E8:F8"/>
    <mergeCell ref="G8:H8"/>
    <mergeCell ref="A9:B10"/>
    <mergeCell ref="C9:D10"/>
    <mergeCell ref="E9:F10"/>
    <mergeCell ref="G9:H10"/>
    <mergeCell ref="A11:D11"/>
    <mergeCell ref="E11:H11"/>
    <mergeCell ref="A12:D12"/>
    <mergeCell ref="E12:H12"/>
    <mergeCell ref="A15:H15"/>
    <mergeCell ref="B16:D16"/>
    <mergeCell ref="G16:H16"/>
    <mergeCell ref="B17:D17"/>
    <mergeCell ref="G17:H17"/>
    <mergeCell ref="B18:D18"/>
    <mergeCell ref="G18:H18"/>
    <mergeCell ref="B19:D19"/>
    <mergeCell ref="G19:H19"/>
    <mergeCell ref="B20:D20"/>
    <mergeCell ref="G20:H20"/>
    <mergeCell ref="B21:D21"/>
    <mergeCell ref="G21:H21"/>
    <mergeCell ref="B22:D22"/>
    <mergeCell ref="G22:H22"/>
    <mergeCell ref="B23:D23"/>
    <mergeCell ref="G23:H23"/>
    <mergeCell ref="B24:D24"/>
    <mergeCell ref="G24:H24"/>
    <mergeCell ref="B25:D25"/>
    <mergeCell ref="G25:H25"/>
    <mergeCell ref="B26:D26"/>
    <mergeCell ref="G26:H26"/>
    <mergeCell ref="B27:D27"/>
    <mergeCell ref="G27:H27"/>
    <mergeCell ref="A29:H29"/>
  </mergeCells>
  <conditionalFormatting sqref="G17:H27">
    <cfRule type="dataBar" priority="2">
      <dataBar showValue="1" minLength="10" maxLength="90">
        <cfvo type="num" val="0"/>
        <cfvo type="num" val="1"/>
        <color rgb="FF2C3E93"/>
      </dataBar>
      <extLst>
        <ext xmlns:x14="http://schemas.microsoft.com/office/spreadsheetml/2009/9/main" uri="{B025F937-C7B1-47D3-B67F-A62EFF666E3E}">
          <x14:id>{D494D181-9B27-45C0-8DB9-77D0BCBB1842}</x14:id>
        </ext>
      </extLst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4D181-9B27-45C0-8DB9-77D0BCBB184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C3E93"/>
              <x14:axisColor rgb="FF000000"/>
            </x14:dataBar>
          </x14:cfRule>
          <xm:sqref>G17:H27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93"/>
    <pageSetUpPr fitToPage="true"/>
  </sheetPr>
  <dimension ref="A1:AI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K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8" min="7" style="1" width="13"/>
    <col collapsed="false" customWidth="true" hidden="false" outlineLevel="0" max="9" min="9" style="1" width="34"/>
    <col collapsed="false" customWidth="true" hidden="false" outlineLevel="0" max="10" min="10" style="1" width="16"/>
    <col collapsed="false" customWidth="true" hidden="false" outlineLevel="0" max="33" min="11" style="1" width="2.75"/>
    <col collapsed="false" customWidth="true" hidden="true" outlineLevel="0" max="35" min="34" style="1" width="13"/>
  </cols>
  <sheetData>
    <row r="1" customFormat="false" ht="25.5" hidden="false" customHeight="true" outlineLevel="0" collapsed="false">
      <c r="A1" s="2" t="s">
        <v>32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 customFormat="false" ht="15" hidden="false" customHeight="true" outlineLevel="0" collapsed="false">
      <c r="K3" s="49" t="s">
        <v>34</v>
      </c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</row>
    <row r="4" customFormat="false" ht="33.75" hidden="false" customHeight="true" outlineLevel="0" collapsed="false">
      <c r="A4" s="50" t="s">
        <v>35</v>
      </c>
      <c r="B4" s="50" t="s">
        <v>36</v>
      </c>
      <c r="C4" s="50" t="s">
        <v>37</v>
      </c>
      <c r="D4" s="50" t="s">
        <v>38</v>
      </c>
      <c r="E4" s="50" t="s">
        <v>39</v>
      </c>
      <c r="F4" s="50" t="s">
        <v>40</v>
      </c>
      <c r="G4" s="50" t="s">
        <v>41</v>
      </c>
      <c r="H4" s="50" t="s">
        <v>42</v>
      </c>
      <c r="I4" s="50" t="s">
        <v>43</v>
      </c>
      <c r="J4" s="50" t="s">
        <v>44</v>
      </c>
      <c r="K4" s="51" t="s">
        <v>45</v>
      </c>
      <c r="L4" s="51" t="s">
        <v>46</v>
      </c>
      <c r="M4" s="51" t="s">
        <v>47</v>
      </c>
      <c r="N4" s="51" t="s">
        <v>48</v>
      </c>
      <c r="O4" s="51" t="s">
        <v>49</v>
      </c>
      <c r="P4" s="51" t="s">
        <v>50</v>
      </c>
      <c r="Q4" s="51" t="s">
        <v>51</v>
      </c>
      <c r="R4" s="51" t="s">
        <v>52</v>
      </c>
      <c r="S4" s="51" t="s">
        <v>53</v>
      </c>
      <c r="T4" s="51" t="s">
        <v>54</v>
      </c>
      <c r="U4" s="51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1" t="s">
        <v>63</v>
      </c>
      <c r="AD4" s="51" t="s">
        <v>64</v>
      </c>
      <c r="AE4" s="51" t="s">
        <v>65</v>
      </c>
      <c r="AF4" s="51" t="s">
        <v>66</v>
      </c>
      <c r="AG4" s="51" t="s">
        <v>67</v>
      </c>
      <c r="AI4" s="1" t="s">
        <v>68</v>
      </c>
    </row>
    <row r="5" customFormat="false" ht="18" hidden="false" customHeight="true" outlineLevel="0" collapsed="false">
      <c r="A5" s="52" t="n">
        <v>1</v>
      </c>
      <c r="B5" s="53" t="s">
        <v>17</v>
      </c>
      <c r="C5" s="54" t="s">
        <v>69</v>
      </c>
      <c r="D5" s="54" t="s">
        <v>70</v>
      </c>
      <c r="E5" s="55" t="s">
        <v>71</v>
      </c>
      <c r="F5" s="52" t="n">
        <v>3</v>
      </c>
      <c r="G5" s="56" t="n">
        <f aca="false">DATE(2026,8,3)</f>
        <v>46237</v>
      </c>
      <c r="H5" s="56" t="n">
        <f aca="false">G5+F5-1</f>
        <v>46239</v>
      </c>
      <c r="I5" s="54" t="s">
        <v>72</v>
      </c>
      <c r="J5" s="55" t="s">
        <v>29</v>
      </c>
      <c r="K5" s="57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I5" s="1" t="str">
        <f aca="false">B5</f>
        <v>1. Khảo sát &amp; Thu thập yêu cầu</v>
      </c>
    </row>
    <row r="6" customFormat="false" ht="18" hidden="false" customHeight="true" outlineLevel="0" collapsed="false">
      <c r="A6" s="52" t="n">
        <v>2</v>
      </c>
      <c r="B6" s="53"/>
      <c r="C6" s="54" t="s">
        <v>73</v>
      </c>
      <c r="D6" s="54" t="s">
        <v>74</v>
      </c>
      <c r="E6" s="55" t="s">
        <v>71</v>
      </c>
      <c r="F6" s="52" t="n">
        <v>2</v>
      </c>
      <c r="G6" s="56" t="n">
        <f aca="false">H5+1</f>
        <v>46240</v>
      </c>
      <c r="H6" s="56" t="n">
        <f aca="false">G6+F6-1</f>
        <v>46241</v>
      </c>
      <c r="I6" s="54"/>
      <c r="J6" s="55" t="s">
        <v>29</v>
      </c>
      <c r="K6" s="57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I6" s="1" t="str">
        <f aca="false">IF(B6&lt;&gt;"",B6,AI5)</f>
        <v>1. Khảo sát &amp; Thu thập yêu cầu</v>
      </c>
    </row>
    <row r="7" customFormat="false" ht="18" hidden="false" customHeight="true" outlineLevel="0" collapsed="false">
      <c r="A7" s="52" t="n">
        <v>3</v>
      </c>
      <c r="B7" s="53"/>
      <c r="C7" s="54" t="s">
        <v>75</v>
      </c>
      <c r="D7" s="54" t="s">
        <v>76</v>
      </c>
      <c r="E7" s="55" t="s">
        <v>71</v>
      </c>
      <c r="F7" s="52" t="n">
        <v>2</v>
      </c>
      <c r="G7" s="56" t="n">
        <f aca="false">H6+1</f>
        <v>46242</v>
      </c>
      <c r="H7" s="56" t="n">
        <f aca="false">G7+F7-1</f>
        <v>46243</v>
      </c>
      <c r="I7" s="54"/>
      <c r="J7" s="55" t="s">
        <v>29</v>
      </c>
      <c r="K7" s="57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I7" s="1" t="str">
        <f aca="false">IF(B7&lt;&gt;"",B7,AI6)</f>
        <v>1. Khảo sát &amp; Thu thập yêu cầu</v>
      </c>
    </row>
    <row r="8" customFormat="false" ht="18" hidden="false" customHeight="true" outlineLevel="0" collapsed="false">
      <c r="A8" s="59" t="n">
        <v>4</v>
      </c>
      <c r="B8" s="60" t="s">
        <v>18</v>
      </c>
      <c r="C8" s="61" t="s">
        <v>77</v>
      </c>
      <c r="D8" s="61" t="s">
        <v>78</v>
      </c>
      <c r="E8" s="62" t="s">
        <v>71</v>
      </c>
      <c r="F8" s="59" t="n">
        <v>3</v>
      </c>
      <c r="G8" s="63" t="n">
        <f aca="false">H7+1</f>
        <v>46244</v>
      </c>
      <c r="H8" s="63" t="n">
        <f aca="false">G8+F8-1</f>
        <v>46246</v>
      </c>
      <c r="I8" s="61" t="s">
        <v>79</v>
      </c>
      <c r="J8" s="62" t="s">
        <v>29</v>
      </c>
      <c r="K8" s="64"/>
      <c r="L8" s="65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I8" s="1" t="str">
        <f aca="false">IF(B8&lt;&gt;"",B8,AI7)</f>
        <v>2. Phân tích &amp; Thiết kế nghiệp vụ</v>
      </c>
    </row>
    <row r="9" customFormat="false" ht="18" hidden="false" customHeight="true" outlineLevel="0" collapsed="false">
      <c r="A9" s="52" t="n">
        <v>5</v>
      </c>
      <c r="B9" s="60"/>
      <c r="C9" s="54" t="s">
        <v>80</v>
      </c>
      <c r="D9" s="54" t="s">
        <v>81</v>
      </c>
      <c r="E9" s="55" t="s">
        <v>71</v>
      </c>
      <c r="F9" s="52" t="n">
        <v>3</v>
      </c>
      <c r="G9" s="56" t="n">
        <f aca="false">H8+1</f>
        <v>46247</v>
      </c>
      <c r="H9" s="56" t="n">
        <f aca="false">G9+F9-1</f>
        <v>46249</v>
      </c>
      <c r="I9" s="54" t="s">
        <v>82</v>
      </c>
      <c r="J9" s="55" t="s">
        <v>29</v>
      </c>
      <c r="K9" s="58"/>
      <c r="L9" s="66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I9" s="1" t="str">
        <f aca="false">IF(B9&lt;&gt;"",B9,AI8)</f>
        <v>2. Phân tích &amp; Thiết kế nghiệp vụ</v>
      </c>
    </row>
    <row r="10" customFormat="false" ht="18" hidden="false" customHeight="true" outlineLevel="0" collapsed="false">
      <c r="A10" s="52" t="n">
        <v>6</v>
      </c>
      <c r="B10" s="60"/>
      <c r="C10" s="54" t="s">
        <v>83</v>
      </c>
      <c r="D10" s="54" t="s">
        <v>84</v>
      </c>
      <c r="E10" s="55" t="s">
        <v>71</v>
      </c>
      <c r="F10" s="52" t="n">
        <v>2</v>
      </c>
      <c r="G10" s="56" t="n">
        <f aca="false">H9+1</f>
        <v>46250</v>
      </c>
      <c r="H10" s="56" t="n">
        <f aca="false">G10+F10-1</f>
        <v>46251</v>
      </c>
      <c r="I10" s="54" t="s">
        <v>85</v>
      </c>
      <c r="J10" s="55" t="s">
        <v>29</v>
      </c>
      <c r="K10" s="58"/>
      <c r="L10" s="66"/>
      <c r="M10" s="66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I10" s="1" t="str">
        <f aca="false">IF(B10&lt;&gt;"",B10,AI9)</f>
        <v>2. Phân tích &amp; Thiết kế nghiệp vụ</v>
      </c>
    </row>
    <row r="11" customFormat="false" ht="18" hidden="false" customHeight="true" outlineLevel="0" collapsed="false">
      <c r="A11" s="59" t="n">
        <v>7</v>
      </c>
      <c r="B11" s="67" t="s">
        <v>19</v>
      </c>
      <c r="C11" s="61" t="s">
        <v>86</v>
      </c>
      <c r="D11" s="61" t="s">
        <v>87</v>
      </c>
      <c r="E11" s="62" t="s">
        <v>88</v>
      </c>
      <c r="F11" s="59" t="n">
        <v>5</v>
      </c>
      <c r="G11" s="63" t="n">
        <f aca="false">H10+1</f>
        <v>46252</v>
      </c>
      <c r="H11" s="63" t="n">
        <f aca="false">G11+F11-1</f>
        <v>46256</v>
      </c>
      <c r="I11" s="61" t="s">
        <v>89</v>
      </c>
      <c r="J11" s="62" t="s">
        <v>29</v>
      </c>
      <c r="K11" s="64"/>
      <c r="L11" s="64"/>
      <c r="M11" s="68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I11" s="1" t="str">
        <f aca="false">IF(B11&lt;&gt;"",B11,AI10)</f>
        <v>3. Thiết kế kỹ thuật &amp; UI/UX</v>
      </c>
    </row>
    <row r="12" customFormat="false" ht="18" hidden="false" customHeight="true" outlineLevel="0" collapsed="false">
      <c r="A12" s="52" t="n">
        <v>8</v>
      </c>
      <c r="B12" s="67"/>
      <c r="C12" s="54" t="s">
        <v>90</v>
      </c>
      <c r="D12" s="54" t="s">
        <v>91</v>
      </c>
      <c r="E12" s="55" t="s">
        <v>92</v>
      </c>
      <c r="F12" s="52" t="n">
        <v>4</v>
      </c>
      <c r="G12" s="56" t="n">
        <f aca="false">H11+1</f>
        <v>46257</v>
      </c>
      <c r="H12" s="56" t="n">
        <f aca="false">G12+F12-1</f>
        <v>46260</v>
      </c>
      <c r="I12" s="54" t="s">
        <v>93</v>
      </c>
      <c r="J12" s="55" t="s">
        <v>29</v>
      </c>
      <c r="K12" s="58"/>
      <c r="L12" s="58"/>
      <c r="M12" s="69"/>
      <c r="N12" s="69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I12" s="1" t="str">
        <f aca="false">IF(B12&lt;&gt;"",B12,AI11)</f>
        <v>3. Thiết kế kỹ thuật &amp; UI/UX</v>
      </c>
    </row>
    <row r="13" customFormat="false" ht="18" hidden="false" customHeight="true" outlineLevel="0" collapsed="false">
      <c r="A13" s="59" t="n">
        <v>9</v>
      </c>
      <c r="B13" s="70" t="s">
        <v>20</v>
      </c>
      <c r="C13" s="61" t="s">
        <v>94</v>
      </c>
      <c r="D13" s="61" t="s">
        <v>95</v>
      </c>
      <c r="E13" s="62" t="s">
        <v>71</v>
      </c>
      <c r="F13" s="59" t="n">
        <v>2</v>
      </c>
      <c r="G13" s="63" t="n">
        <f aca="false">H12+1</f>
        <v>46261</v>
      </c>
      <c r="H13" s="63" t="n">
        <f aca="false">G13+F13-1</f>
        <v>46262</v>
      </c>
      <c r="I13" s="61" t="s">
        <v>96</v>
      </c>
      <c r="J13" s="62" t="s">
        <v>29</v>
      </c>
      <c r="K13" s="64"/>
      <c r="L13" s="64"/>
      <c r="M13" s="64"/>
      <c r="N13" s="71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I13" s="1" t="str">
        <f aca="false">IF(B13&lt;&gt;"",B13,AI12)</f>
        <v>4. Soạn thảo &amp; Hoàn thiện tài liệu</v>
      </c>
    </row>
    <row r="14" customFormat="false" ht="18" hidden="false" customHeight="true" outlineLevel="0" collapsed="false">
      <c r="A14" s="52" t="n">
        <v>10</v>
      </c>
      <c r="B14" s="70"/>
      <c r="C14" s="54" t="s">
        <v>97</v>
      </c>
      <c r="D14" s="54" t="s">
        <v>98</v>
      </c>
      <c r="E14" s="55" t="s">
        <v>99</v>
      </c>
      <c r="F14" s="52" t="n">
        <v>1</v>
      </c>
      <c r="G14" s="56" t="n">
        <f aca="false">H13+1</f>
        <v>46263</v>
      </c>
      <c r="H14" s="56" t="n">
        <f aca="false">G14+F14-1</f>
        <v>46263</v>
      </c>
      <c r="I14" s="54"/>
      <c r="J14" s="55" t="s">
        <v>29</v>
      </c>
      <c r="K14" s="58"/>
      <c r="L14" s="58"/>
      <c r="M14" s="58"/>
      <c r="N14" s="72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I14" s="1" t="str">
        <f aca="false">IF(B14&lt;&gt;"",B14,AI13)</f>
        <v>4. Soạn thảo &amp; Hoàn thiện tài liệu</v>
      </c>
    </row>
    <row r="15" customFormat="false" ht="18" hidden="false" customHeight="true" outlineLevel="0" collapsed="false">
      <c r="A15" s="59" t="n">
        <v>11</v>
      </c>
      <c r="B15" s="73" t="s">
        <v>21</v>
      </c>
      <c r="C15" s="61" t="s">
        <v>100</v>
      </c>
      <c r="D15" s="61" t="s">
        <v>101</v>
      </c>
      <c r="E15" s="62" t="s">
        <v>102</v>
      </c>
      <c r="F15" s="59" t="n">
        <v>1</v>
      </c>
      <c r="G15" s="63" t="n">
        <f aca="false">H14+1</f>
        <v>46264</v>
      </c>
      <c r="H15" s="63" t="n">
        <f aca="false">G15+F15-1</f>
        <v>46264</v>
      </c>
      <c r="I15" s="61"/>
      <c r="J15" s="62" t="s">
        <v>29</v>
      </c>
      <c r="K15" s="64"/>
      <c r="L15" s="64"/>
      <c r="M15" s="64"/>
      <c r="N15" s="7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I15" s="1" t="str">
        <f aca="false">IF(B15&lt;&gt;"",B15,AI14)</f>
        <v>5. Xác nhận tài liệu (Confirm)</v>
      </c>
    </row>
    <row r="16" customFormat="false" ht="18" hidden="false" customHeight="true" outlineLevel="0" collapsed="false">
      <c r="A16" s="52" t="n">
        <v>12</v>
      </c>
      <c r="B16" s="73"/>
      <c r="C16" s="54" t="s">
        <v>103</v>
      </c>
      <c r="D16" s="54" t="s">
        <v>104</v>
      </c>
      <c r="E16" s="55" t="s">
        <v>71</v>
      </c>
      <c r="F16" s="52" t="n">
        <v>2</v>
      </c>
      <c r="G16" s="56" t="n">
        <f aca="false">H15+1</f>
        <v>46265</v>
      </c>
      <c r="H16" s="56" t="n">
        <f aca="false">G16+F16-1</f>
        <v>46266</v>
      </c>
      <c r="I16" s="54"/>
      <c r="J16" s="55" t="s">
        <v>29</v>
      </c>
      <c r="K16" s="58"/>
      <c r="L16" s="58"/>
      <c r="M16" s="58"/>
      <c r="N16" s="58"/>
      <c r="O16" s="7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I16" s="1" t="str">
        <f aca="false">IF(B16&lt;&gt;"",B16,AI15)</f>
        <v>5. Xác nhận tài liệu (Confirm)</v>
      </c>
    </row>
    <row r="17" customFormat="false" ht="18" hidden="false" customHeight="true" outlineLevel="0" collapsed="false">
      <c r="A17" s="52" t="n">
        <v>13</v>
      </c>
      <c r="B17" s="73"/>
      <c r="C17" s="54" t="s">
        <v>105</v>
      </c>
      <c r="D17" s="54" t="s">
        <v>106</v>
      </c>
      <c r="E17" s="55" t="s">
        <v>107</v>
      </c>
      <c r="F17" s="52" t="n">
        <v>1</v>
      </c>
      <c r="G17" s="56" t="n">
        <f aca="false">H16+1</f>
        <v>46267</v>
      </c>
      <c r="H17" s="56" t="n">
        <f aca="false">G17+F17-1</f>
        <v>46267</v>
      </c>
      <c r="I17" s="54" t="s">
        <v>108</v>
      </c>
      <c r="J17" s="55" t="s">
        <v>29</v>
      </c>
      <c r="K17" s="58"/>
      <c r="L17" s="58"/>
      <c r="M17" s="58"/>
      <c r="N17" s="58"/>
      <c r="O17" s="7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I17" s="1" t="str">
        <f aca="false">IF(B17&lt;&gt;"",B17,AI16)</f>
        <v>5. Xác nhận tài liệu (Confirm)</v>
      </c>
    </row>
    <row r="18" customFormat="false" ht="18" hidden="false" customHeight="true" outlineLevel="0" collapsed="false">
      <c r="A18" s="59" t="n">
        <v>14</v>
      </c>
      <c r="B18" s="76" t="s">
        <v>22</v>
      </c>
      <c r="C18" s="61" t="s">
        <v>109</v>
      </c>
      <c r="D18" s="61" t="s">
        <v>110</v>
      </c>
      <c r="E18" s="62" t="s">
        <v>111</v>
      </c>
      <c r="F18" s="59" t="n">
        <v>1</v>
      </c>
      <c r="G18" s="63" t="n">
        <f aca="false">H17+1</f>
        <v>46268</v>
      </c>
      <c r="H18" s="63" t="n">
        <f aca="false">G18+F18-1</f>
        <v>46268</v>
      </c>
      <c r="I18" s="61" t="s">
        <v>112</v>
      </c>
      <c r="J18" s="62" t="s">
        <v>29</v>
      </c>
      <c r="K18" s="64"/>
      <c r="L18" s="64"/>
      <c r="M18" s="64"/>
      <c r="N18" s="64"/>
      <c r="O18" s="77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I18" s="1" t="str">
        <f aca="false">IF(B18&lt;&gt;"",B18,AI17)</f>
        <v>6. Kick-off dự án</v>
      </c>
    </row>
    <row r="19" customFormat="false" ht="18" hidden="false" customHeight="true" outlineLevel="0" collapsed="false">
      <c r="A19" s="52" t="n">
        <v>15</v>
      </c>
      <c r="B19" s="76"/>
      <c r="C19" s="54" t="s">
        <v>113</v>
      </c>
      <c r="D19" s="54" t="s">
        <v>114</v>
      </c>
      <c r="E19" s="55" t="s">
        <v>115</v>
      </c>
      <c r="F19" s="52" t="n">
        <v>1</v>
      </c>
      <c r="G19" s="56" t="n">
        <f aca="false">H18+1</f>
        <v>46269</v>
      </c>
      <c r="H19" s="56" t="n">
        <f aca="false">G19+F19-1</f>
        <v>46269</v>
      </c>
      <c r="I19" s="54" t="s">
        <v>116</v>
      </c>
      <c r="J19" s="55" t="s">
        <v>29</v>
      </c>
      <c r="K19" s="58"/>
      <c r="L19" s="58"/>
      <c r="M19" s="58"/>
      <c r="N19" s="58"/>
      <c r="O19" s="7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I19" s="1" t="str">
        <f aca="false">IF(B19&lt;&gt;"",B19,AI18)</f>
        <v>6. Kick-off dự án</v>
      </c>
    </row>
    <row r="20" customFormat="false" ht="18" hidden="false" customHeight="true" outlineLevel="0" collapsed="false">
      <c r="A20" s="59" t="n">
        <v>16</v>
      </c>
      <c r="B20" s="79" t="s">
        <v>23</v>
      </c>
      <c r="C20" s="61" t="s">
        <v>117</v>
      </c>
      <c r="D20" s="61" t="s">
        <v>118</v>
      </c>
      <c r="E20" s="62" t="s">
        <v>119</v>
      </c>
      <c r="F20" s="59" t="n">
        <v>5</v>
      </c>
      <c r="G20" s="63" t="n">
        <f aca="false">H19+1</f>
        <v>46270</v>
      </c>
      <c r="H20" s="63" t="n">
        <f aca="false">G20+F20-1</f>
        <v>46274</v>
      </c>
      <c r="I20" s="61" t="s">
        <v>120</v>
      </c>
      <c r="J20" s="62" t="s">
        <v>29</v>
      </c>
      <c r="K20" s="64"/>
      <c r="L20" s="64"/>
      <c r="M20" s="64"/>
      <c r="N20" s="64"/>
      <c r="O20" s="80"/>
      <c r="P20" s="80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I20" s="1" t="str">
        <f aca="false">IF(B20&lt;&gt;"",B20,AI19)</f>
        <v>7. Phát triển (Agile Scrum)</v>
      </c>
    </row>
    <row r="21" customFormat="false" ht="18" hidden="false" customHeight="true" outlineLevel="0" collapsed="false">
      <c r="A21" s="52" t="n">
        <v>17</v>
      </c>
      <c r="B21" s="79"/>
      <c r="C21" s="54" t="s">
        <v>121</v>
      </c>
      <c r="D21" s="54" t="s">
        <v>122</v>
      </c>
      <c r="E21" s="55" t="s">
        <v>119</v>
      </c>
      <c r="F21" s="52" t="n">
        <v>10</v>
      </c>
      <c r="G21" s="56" t="n">
        <f aca="false">H20+1</f>
        <v>46275</v>
      </c>
      <c r="H21" s="56" t="n">
        <f aca="false">G21+F21-1</f>
        <v>46284</v>
      </c>
      <c r="I21" s="54" t="s">
        <v>123</v>
      </c>
      <c r="J21" s="55" t="s">
        <v>29</v>
      </c>
      <c r="K21" s="58"/>
      <c r="L21" s="58"/>
      <c r="M21" s="58"/>
      <c r="N21" s="58"/>
      <c r="O21" s="58"/>
      <c r="P21" s="81"/>
      <c r="Q21" s="81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I21" s="1" t="str">
        <f aca="false">IF(B21&lt;&gt;"",B21,AI20)</f>
        <v>7. Phát triển (Agile Scrum)</v>
      </c>
    </row>
    <row r="22" customFormat="false" ht="18" hidden="false" customHeight="true" outlineLevel="0" collapsed="false">
      <c r="A22" s="52" t="n">
        <v>18</v>
      </c>
      <c r="B22" s="79"/>
      <c r="C22" s="54" t="s">
        <v>124</v>
      </c>
      <c r="D22" s="54" t="s">
        <v>125</v>
      </c>
      <c r="E22" s="55" t="s">
        <v>119</v>
      </c>
      <c r="F22" s="52" t="n">
        <v>10</v>
      </c>
      <c r="G22" s="56" t="n">
        <f aca="false">H21+1</f>
        <v>46285</v>
      </c>
      <c r="H22" s="56" t="n">
        <f aca="false">G22+F22-1</f>
        <v>46294</v>
      </c>
      <c r="I22" s="54" t="s">
        <v>126</v>
      </c>
      <c r="J22" s="55" t="s">
        <v>29</v>
      </c>
      <c r="K22" s="58"/>
      <c r="L22" s="58"/>
      <c r="M22" s="58"/>
      <c r="N22" s="58"/>
      <c r="O22" s="58"/>
      <c r="P22" s="58"/>
      <c r="Q22" s="81"/>
      <c r="R22" s="81"/>
      <c r="S22" s="81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I22" s="1" t="str">
        <f aca="false">IF(B22&lt;&gt;"",B22,AI21)</f>
        <v>7. Phát triển (Agile Scrum)</v>
      </c>
    </row>
    <row r="23" customFormat="false" ht="18" hidden="false" customHeight="true" outlineLevel="0" collapsed="false">
      <c r="A23" s="52" t="n">
        <v>19</v>
      </c>
      <c r="B23" s="79"/>
      <c r="C23" s="54" t="s">
        <v>127</v>
      </c>
      <c r="D23" s="54" t="s">
        <v>128</v>
      </c>
      <c r="E23" s="55" t="s">
        <v>119</v>
      </c>
      <c r="F23" s="52" t="n">
        <v>10</v>
      </c>
      <c r="G23" s="56" t="n">
        <f aca="false">H22+1</f>
        <v>46295</v>
      </c>
      <c r="H23" s="56" t="n">
        <f aca="false">G23+F23-1</f>
        <v>46304</v>
      </c>
      <c r="I23" s="54" t="s">
        <v>129</v>
      </c>
      <c r="J23" s="55" t="s">
        <v>29</v>
      </c>
      <c r="K23" s="58"/>
      <c r="L23" s="58"/>
      <c r="M23" s="58"/>
      <c r="N23" s="58"/>
      <c r="O23" s="58"/>
      <c r="P23" s="58"/>
      <c r="Q23" s="58"/>
      <c r="R23" s="58"/>
      <c r="S23" s="81"/>
      <c r="T23" s="81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I23" s="1" t="str">
        <f aca="false">IF(B23&lt;&gt;"",B23,AI22)</f>
        <v>7. Phát triển (Agile Scrum)</v>
      </c>
    </row>
    <row r="24" customFormat="false" ht="18" hidden="false" customHeight="true" outlineLevel="0" collapsed="false">
      <c r="A24" s="52" t="n">
        <v>20</v>
      </c>
      <c r="B24" s="79"/>
      <c r="C24" s="54" t="s">
        <v>130</v>
      </c>
      <c r="D24" s="54" t="s">
        <v>131</v>
      </c>
      <c r="E24" s="55" t="s">
        <v>119</v>
      </c>
      <c r="F24" s="52" t="n">
        <v>10</v>
      </c>
      <c r="G24" s="56" t="n">
        <f aca="false">H23+1</f>
        <v>46305</v>
      </c>
      <c r="H24" s="56" t="n">
        <f aca="false">G24+F24-1</f>
        <v>46314</v>
      </c>
      <c r="I24" s="54" t="s">
        <v>132</v>
      </c>
      <c r="J24" s="55" t="s">
        <v>29</v>
      </c>
      <c r="K24" s="58"/>
      <c r="L24" s="58"/>
      <c r="M24" s="58"/>
      <c r="N24" s="58"/>
      <c r="O24" s="58"/>
      <c r="P24" s="58"/>
      <c r="Q24" s="58"/>
      <c r="R24" s="58"/>
      <c r="S24" s="58"/>
      <c r="T24" s="81"/>
      <c r="U24" s="81"/>
      <c r="V24" s="81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I24" s="1" t="str">
        <f aca="false">IF(B24&lt;&gt;"",B24,AI23)</f>
        <v>7. Phát triển (Agile Scrum)</v>
      </c>
    </row>
    <row r="25" customFormat="false" ht="18" hidden="false" customHeight="true" outlineLevel="0" collapsed="false">
      <c r="A25" s="52" t="n">
        <v>21</v>
      </c>
      <c r="B25" s="79"/>
      <c r="C25" s="54" t="s">
        <v>133</v>
      </c>
      <c r="D25" s="54" t="s">
        <v>134</v>
      </c>
      <c r="E25" s="55" t="s">
        <v>119</v>
      </c>
      <c r="F25" s="52" t="n">
        <v>10</v>
      </c>
      <c r="G25" s="56" t="n">
        <f aca="false">H24+1</f>
        <v>46315</v>
      </c>
      <c r="H25" s="56" t="n">
        <f aca="false">G25+F25-1</f>
        <v>46324</v>
      </c>
      <c r="I25" s="54" t="s">
        <v>135</v>
      </c>
      <c r="J25" s="55" t="s">
        <v>29</v>
      </c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81"/>
      <c r="W25" s="81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I25" s="1" t="str">
        <f aca="false">IF(B25&lt;&gt;"",B25,AI24)</f>
        <v>7. Phát triển (Agile Scrum)</v>
      </c>
    </row>
    <row r="26" customFormat="false" ht="18" hidden="false" customHeight="true" outlineLevel="0" collapsed="false">
      <c r="A26" s="52" t="n">
        <v>22</v>
      </c>
      <c r="B26" s="79"/>
      <c r="C26" s="54" t="s">
        <v>136</v>
      </c>
      <c r="D26" s="54" t="s">
        <v>137</v>
      </c>
      <c r="E26" s="55" t="s">
        <v>119</v>
      </c>
      <c r="F26" s="52" t="n">
        <v>10</v>
      </c>
      <c r="G26" s="56" t="n">
        <f aca="false">H25+1</f>
        <v>46325</v>
      </c>
      <c r="H26" s="56" t="n">
        <f aca="false">G26+F26-1</f>
        <v>46334</v>
      </c>
      <c r="I26" s="54" t="s">
        <v>138</v>
      </c>
      <c r="J26" s="55" t="s">
        <v>29</v>
      </c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81"/>
      <c r="X26" s="81"/>
      <c r="Y26" s="58"/>
      <c r="Z26" s="58"/>
      <c r="AA26" s="58"/>
      <c r="AB26" s="58"/>
      <c r="AC26" s="58"/>
      <c r="AD26" s="58"/>
      <c r="AE26" s="58"/>
      <c r="AF26" s="58"/>
      <c r="AG26" s="58"/>
      <c r="AI26" s="1" t="str">
        <f aca="false">IF(B26&lt;&gt;"",B26,AI25)</f>
        <v>7. Phát triển (Agile Scrum)</v>
      </c>
    </row>
    <row r="27" customFormat="false" ht="18" hidden="false" customHeight="true" outlineLevel="0" collapsed="false">
      <c r="A27" s="52" t="n">
        <v>23</v>
      </c>
      <c r="B27" s="79"/>
      <c r="C27" s="54" t="s">
        <v>139</v>
      </c>
      <c r="D27" s="54" t="s">
        <v>140</v>
      </c>
      <c r="E27" s="55" t="s">
        <v>119</v>
      </c>
      <c r="F27" s="52" t="n">
        <v>5</v>
      </c>
      <c r="G27" s="56" t="n">
        <f aca="false">H26+1</f>
        <v>46335</v>
      </c>
      <c r="H27" s="56" t="n">
        <f aca="false">G27+F27-1</f>
        <v>46339</v>
      </c>
      <c r="I27" s="54" t="s">
        <v>141</v>
      </c>
      <c r="J27" s="55" t="s">
        <v>29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81"/>
      <c r="Z27" s="58"/>
      <c r="AA27" s="58"/>
      <c r="AB27" s="58"/>
      <c r="AC27" s="58"/>
      <c r="AD27" s="58"/>
      <c r="AE27" s="58"/>
      <c r="AF27" s="58"/>
      <c r="AG27" s="58"/>
      <c r="AI27" s="1" t="str">
        <f aca="false">IF(B27&lt;&gt;"",B27,AI26)</f>
        <v>7. Phát triển (Agile Scrum)</v>
      </c>
    </row>
    <row r="28" customFormat="false" ht="18" hidden="false" customHeight="true" outlineLevel="0" collapsed="false">
      <c r="A28" s="59" t="n">
        <v>24</v>
      </c>
      <c r="B28" s="82" t="s">
        <v>24</v>
      </c>
      <c r="C28" s="61" t="s">
        <v>142</v>
      </c>
      <c r="D28" s="61" t="s">
        <v>143</v>
      </c>
      <c r="E28" s="62" t="s">
        <v>144</v>
      </c>
      <c r="F28" s="59" t="n">
        <v>5</v>
      </c>
      <c r="G28" s="63" t="n">
        <f aca="false">H27+1</f>
        <v>46340</v>
      </c>
      <c r="H28" s="63" t="n">
        <f aca="false">G28+F28-1</f>
        <v>46344</v>
      </c>
      <c r="I28" s="61" t="s">
        <v>145</v>
      </c>
      <c r="J28" s="62" t="s">
        <v>29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83"/>
      <c r="Z28" s="83"/>
      <c r="AA28" s="64"/>
      <c r="AB28" s="64"/>
      <c r="AC28" s="64"/>
      <c r="AD28" s="64"/>
      <c r="AE28" s="64"/>
      <c r="AF28" s="64"/>
      <c r="AG28" s="64"/>
      <c r="AI28" s="1" t="str">
        <f aca="false">IF(B28&lt;&gt;"",B28,AI27)</f>
        <v>8. Kiểm thử hệ thống (SIT)</v>
      </c>
    </row>
    <row r="29" customFormat="false" ht="18" hidden="false" customHeight="true" outlineLevel="0" collapsed="false">
      <c r="A29" s="59" t="n">
        <v>25</v>
      </c>
      <c r="B29" s="84" t="s">
        <v>25</v>
      </c>
      <c r="C29" s="61" t="s">
        <v>146</v>
      </c>
      <c r="D29" s="61" t="s">
        <v>147</v>
      </c>
      <c r="E29" s="62" t="s">
        <v>148</v>
      </c>
      <c r="F29" s="59" t="n">
        <v>5</v>
      </c>
      <c r="G29" s="63" t="n">
        <f aca="false">H28+1</f>
        <v>46345</v>
      </c>
      <c r="H29" s="63" t="n">
        <f aca="false">G29+F29-1</f>
        <v>46349</v>
      </c>
      <c r="I29" s="61" t="s">
        <v>149</v>
      </c>
      <c r="J29" s="62" t="s">
        <v>29</v>
      </c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85"/>
      <c r="AA29" s="85"/>
      <c r="AB29" s="64"/>
      <c r="AC29" s="64"/>
      <c r="AD29" s="64"/>
      <c r="AE29" s="64"/>
      <c r="AF29" s="64"/>
      <c r="AG29" s="64"/>
      <c r="AI29" s="1" t="str">
        <f aca="false">IF(B29&lt;&gt;"",B29,AI28)</f>
        <v>9. UAT (User Acceptance Testing)</v>
      </c>
    </row>
    <row r="30" customFormat="false" ht="18" hidden="false" customHeight="true" outlineLevel="0" collapsed="false">
      <c r="A30" s="52" t="n">
        <v>26</v>
      </c>
      <c r="B30" s="84"/>
      <c r="C30" s="54" t="s">
        <v>150</v>
      </c>
      <c r="D30" s="54" t="s">
        <v>151</v>
      </c>
      <c r="E30" s="55" t="s">
        <v>119</v>
      </c>
      <c r="F30" s="52" t="n">
        <v>3</v>
      </c>
      <c r="G30" s="56" t="n">
        <f aca="false">H29+1</f>
        <v>46350</v>
      </c>
      <c r="H30" s="56" t="n">
        <f aca="false">G30+F30-1</f>
        <v>46352</v>
      </c>
      <c r="I30" s="54" t="s">
        <v>152</v>
      </c>
      <c r="J30" s="55" t="s">
        <v>29</v>
      </c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86"/>
      <c r="AB30" s="58"/>
      <c r="AC30" s="58"/>
      <c r="AD30" s="58"/>
      <c r="AE30" s="58"/>
      <c r="AF30" s="58"/>
      <c r="AG30" s="58"/>
      <c r="AI30" s="1" t="str">
        <f aca="false">IF(B30&lt;&gt;"",B30,AI29)</f>
        <v>9. UAT (User Acceptance Testing)</v>
      </c>
    </row>
    <row r="31" customFormat="false" ht="18" hidden="false" customHeight="true" outlineLevel="0" collapsed="false">
      <c r="A31" s="59" t="n">
        <v>27</v>
      </c>
      <c r="B31" s="87" t="s">
        <v>26</v>
      </c>
      <c r="C31" s="61" t="s">
        <v>153</v>
      </c>
      <c r="D31" s="61" t="s">
        <v>154</v>
      </c>
      <c r="E31" s="62" t="s">
        <v>155</v>
      </c>
      <c r="F31" s="59" t="n">
        <v>2</v>
      </c>
      <c r="G31" s="63" t="n">
        <f aca="false">H30+1</f>
        <v>46353</v>
      </c>
      <c r="H31" s="63" t="n">
        <f aca="false">G31+F31-1</f>
        <v>46354</v>
      </c>
      <c r="I31" s="61" t="s">
        <v>156</v>
      </c>
      <c r="J31" s="62" t="s">
        <v>29</v>
      </c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88"/>
      <c r="AB31" s="64"/>
      <c r="AC31" s="64"/>
      <c r="AD31" s="64"/>
      <c r="AE31" s="64"/>
      <c r="AF31" s="64"/>
      <c r="AG31" s="64"/>
      <c r="AI31" s="1" t="str">
        <f aca="false">IF(B31&lt;&gt;"",B31,AI30)</f>
        <v>10. Bàn giao &amp; Chuyển giao</v>
      </c>
    </row>
    <row r="32" customFormat="false" ht="18" hidden="false" customHeight="true" outlineLevel="0" collapsed="false">
      <c r="A32" s="52" t="n">
        <v>28</v>
      </c>
      <c r="B32" s="87"/>
      <c r="C32" s="54" t="s">
        <v>157</v>
      </c>
      <c r="D32" s="54" t="s">
        <v>158</v>
      </c>
      <c r="E32" s="55" t="s">
        <v>159</v>
      </c>
      <c r="F32" s="52" t="n">
        <v>2</v>
      </c>
      <c r="G32" s="56" t="n">
        <f aca="false">H31+1</f>
        <v>46355</v>
      </c>
      <c r="H32" s="56" t="n">
        <f aca="false">G32+F32-1</f>
        <v>46356</v>
      </c>
      <c r="I32" s="54" t="s">
        <v>160</v>
      </c>
      <c r="J32" s="55" t="s">
        <v>29</v>
      </c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89"/>
      <c r="AB32" s="89"/>
      <c r="AC32" s="58"/>
      <c r="AD32" s="58"/>
      <c r="AE32" s="58"/>
      <c r="AF32" s="58"/>
      <c r="AG32" s="58"/>
      <c r="AI32" s="1" t="str">
        <f aca="false">IF(B32&lt;&gt;"",B32,AI31)</f>
        <v>10. Bàn giao &amp; Chuyển giao</v>
      </c>
    </row>
    <row r="33" customFormat="false" ht="18" hidden="false" customHeight="true" outlineLevel="0" collapsed="false">
      <c r="A33" s="59" t="n">
        <v>29</v>
      </c>
      <c r="B33" s="90" t="s">
        <v>27</v>
      </c>
      <c r="C33" s="61" t="s">
        <v>161</v>
      </c>
      <c r="D33" s="61" t="s">
        <v>162</v>
      </c>
      <c r="E33" s="62" t="s">
        <v>163</v>
      </c>
      <c r="F33" s="59" t="n">
        <v>1</v>
      </c>
      <c r="G33" s="63" t="n">
        <f aca="false">H32+1</f>
        <v>46357</v>
      </c>
      <c r="H33" s="63" t="n">
        <f aca="false">G33+F33-1</f>
        <v>46357</v>
      </c>
      <c r="I33" s="61" t="s">
        <v>164</v>
      </c>
      <c r="J33" s="62" t="s">
        <v>29</v>
      </c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91"/>
      <c r="AC33" s="64"/>
      <c r="AD33" s="64"/>
      <c r="AE33" s="64"/>
      <c r="AF33" s="64"/>
      <c r="AG33" s="64"/>
      <c r="AI33" s="1" t="str">
        <f aca="false">IF(B33&lt;&gt;"",B33,AI32)</f>
        <v>11. Nghiệm thu &amp; Bảo hành</v>
      </c>
    </row>
    <row r="34" customFormat="false" ht="18" hidden="false" customHeight="true" outlineLevel="0" collapsed="false">
      <c r="A34" s="52" t="n">
        <v>30</v>
      </c>
      <c r="B34" s="90"/>
      <c r="C34" s="54" t="s">
        <v>165</v>
      </c>
      <c r="D34" s="54" t="s">
        <v>166</v>
      </c>
      <c r="E34" s="55" t="s">
        <v>119</v>
      </c>
      <c r="F34" s="52" t="n">
        <v>30</v>
      </c>
      <c r="G34" s="56" t="n">
        <f aca="false">H33+1</f>
        <v>46358</v>
      </c>
      <c r="H34" s="56" t="n">
        <f aca="false">G34+F34-1</f>
        <v>46387</v>
      </c>
      <c r="I34" s="54" t="s">
        <v>167</v>
      </c>
      <c r="J34" s="55" t="s">
        <v>29</v>
      </c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92"/>
      <c r="AC34" s="92"/>
      <c r="AD34" s="92"/>
      <c r="AE34" s="92"/>
      <c r="AF34" s="92"/>
      <c r="AG34" s="58"/>
      <c r="AI34" s="1" t="str">
        <f aca="false">IF(B34&lt;&gt;"",B34,AI33)</f>
        <v>11. Nghiệm thu &amp; Bảo hành</v>
      </c>
    </row>
    <row r="36" customFormat="false" ht="15" hidden="false" customHeight="true" outlineLevel="0" collapsed="false">
      <c r="B36" s="93" t="s">
        <v>168</v>
      </c>
    </row>
    <row r="37" customFormat="false" ht="15" hidden="false" customHeight="true" outlineLevel="0" collapsed="false">
      <c r="B37" s="94" t="s">
        <v>169</v>
      </c>
      <c r="G37" s="94" t="s">
        <v>28</v>
      </c>
    </row>
    <row r="38" customFormat="false" ht="15.75" hidden="false" customHeight="true" outlineLevel="0" collapsed="false">
      <c r="A38" s="22"/>
      <c r="B38" s="95" t="s">
        <v>17</v>
      </c>
      <c r="C38" s="95"/>
      <c r="D38" s="95"/>
      <c r="E38" s="95"/>
      <c r="G38" s="40"/>
      <c r="H38" s="96" t="s">
        <v>29</v>
      </c>
      <c r="I38" s="96"/>
      <c r="J38" s="96"/>
    </row>
    <row r="39" customFormat="false" ht="15.75" hidden="false" customHeight="true" outlineLevel="0" collapsed="false">
      <c r="A39" s="26"/>
      <c r="B39" s="95" t="s">
        <v>18</v>
      </c>
      <c r="C39" s="95"/>
      <c r="D39" s="95"/>
      <c r="E39" s="95"/>
      <c r="G39" s="42"/>
      <c r="H39" s="97" t="s">
        <v>30</v>
      </c>
      <c r="I39" s="97"/>
      <c r="J39" s="97"/>
    </row>
    <row r="40" customFormat="false" ht="15.75" hidden="false" customHeight="true" outlineLevel="0" collapsed="false">
      <c r="A40" s="30"/>
      <c r="B40" s="95" t="s">
        <v>19</v>
      </c>
      <c r="C40" s="95"/>
      <c r="D40" s="95"/>
      <c r="E40" s="95"/>
      <c r="G40" s="44"/>
      <c r="H40" s="98" t="s">
        <v>15</v>
      </c>
      <c r="I40" s="98"/>
      <c r="J40" s="98"/>
    </row>
    <row r="41" customFormat="false" ht="15.75" hidden="false" customHeight="true" outlineLevel="0" collapsed="false">
      <c r="A41" s="31"/>
      <c r="B41" s="95" t="s">
        <v>20</v>
      </c>
      <c r="C41" s="95"/>
      <c r="D41" s="95"/>
      <c r="E41" s="95"/>
      <c r="G41" s="46"/>
      <c r="H41" s="99" t="s">
        <v>31</v>
      </c>
      <c r="I41" s="99"/>
      <c r="J41" s="99"/>
    </row>
    <row r="42" customFormat="false" ht="15.75" hidden="false" customHeight="true" outlineLevel="0" collapsed="false">
      <c r="A42" s="32"/>
      <c r="B42" s="95" t="s">
        <v>21</v>
      </c>
      <c r="C42" s="95"/>
      <c r="D42" s="95"/>
      <c r="E42" s="95"/>
    </row>
    <row r="43" customFormat="false" ht="15.75" hidden="false" customHeight="true" outlineLevel="0" collapsed="false">
      <c r="A43" s="33"/>
      <c r="B43" s="95" t="s">
        <v>22</v>
      </c>
      <c r="C43" s="95"/>
      <c r="D43" s="95"/>
      <c r="E43" s="95"/>
    </row>
    <row r="44" customFormat="false" ht="15.75" hidden="false" customHeight="true" outlineLevel="0" collapsed="false">
      <c r="A44" s="34"/>
      <c r="B44" s="95" t="s">
        <v>23</v>
      </c>
      <c r="C44" s="95"/>
      <c r="D44" s="95"/>
      <c r="E44" s="95"/>
    </row>
    <row r="45" customFormat="false" ht="15.75" hidden="false" customHeight="true" outlineLevel="0" collapsed="false">
      <c r="A45" s="35"/>
      <c r="B45" s="95" t="s">
        <v>24</v>
      </c>
      <c r="C45" s="95"/>
      <c r="D45" s="95"/>
      <c r="E45" s="95"/>
    </row>
    <row r="46" customFormat="false" ht="15.75" hidden="false" customHeight="true" outlineLevel="0" collapsed="false">
      <c r="A46" s="36"/>
      <c r="B46" s="95" t="s">
        <v>25</v>
      </c>
      <c r="C46" s="95"/>
      <c r="D46" s="95"/>
      <c r="E46" s="95"/>
    </row>
    <row r="47" customFormat="false" ht="15.75" hidden="false" customHeight="true" outlineLevel="0" collapsed="false">
      <c r="A47" s="37"/>
      <c r="B47" s="95" t="s">
        <v>26</v>
      </c>
      <c r="C47" s="95"/>
      <c r="D47" s="95"/>
      <c r="E47" s="95"/>
    </row>
    <row r="48" customFormat="false" ht="15.75" hidden="false" customHeight="true" outlineLevel="0" collapsed="false">
      <c r="A48" s="38"/>
      <c r="B48" s="95" t="s">
        <v>27</v>
      </c>
      <c r="C48" s="95"/>
      <c r="D48" s="95"/>
      <c r="E48" s="95"/>
    </row>
  </sheetData>
  <mergeCells count="28">
    <mergeCell ref="A1:J1"/>
    <mergeCell ref="A2:J2"/>
    <mergeCell ref="K3:AG3"/>
    <mergeCell ref="B5:B7"/>
    <mergeCell ref="B8:B10"/>
    <mergeCell ref="B11:B12"/>
    <mergeCell ref="B13:B14"/>
    <mergeCell ref="B15:B17"/>
    <mergeCell ref="B18:B19"/>
    <mergeCell ref="B20:B27"/>
    <mergeCell ref="B29:B30"/>
    <mergeCell ref="B31:B32"/>
    <mergeCell ref="B33:B34"/>
    <mergeCell ref="B38:E38"/>
    <mergeCell ref="H38:J38"/>
    <mergeCell ref="B39:E39"/>
    <mergeCell ref="H39:J39"/>
    <mergeCell ref="B40:E40"/>
    <mergeCell ref="H40:J40"/>
    <mergeCell ref="B41:E41"/>
    <mergeCell ref="H41:J41"/>
    <mergeCell ref="B42:E42"/>
    <mergeCell ref="B43:E43"/>
    <mergeCell ref="B44:E44"/>
    <mergeCell ref="B45:E45"/>
    <mergeCell ref="B46:E46"/>
    <mergeCell ref="B47:E47"/>
    <mergeCell ref="B48:E48"/>
  </mergeCells>
  <conditionalFormatting sqref="A5:A34">
    <cfRule type="expression" priority="2" aboveAverage="0" equalAverage="0" bottom="0" percent="0" rank="0" text="" dxfId="0">
      <formula>ISEVEN(ROW())</formula>
    </cfRule>
  </conditionalFormatting>
  <conditionalFormatting sqref="C5:J34">
    <cfRule type="expression" priority="3" aboveAverage="0" equalAverage="0" bottom="0" percent="0" rank="0" text="" dxfId="0">
      <formula>ISEVEN(ROW())</formula>
    </cfRule>
  </conditionalFormatting>
  <conditionalFormatting sqref="J5:J34">
    <cfRule type="cellIs" priority="4" operator="equal" aboveAverage="0" equalAverage="0" bottom="0" percent="0" rank="0" text="" dxfId="1">
      <formula>"Chưa bắt đầu"</formula>
    </cfRule>
    <cfRule type="cellIs" priority="5" operator="equal" aboveAverage="0" equalAverage="0" bottom="0" percent="0" rank="0" text="" dxfId="2">
      <formula>"Đang thực hiện"</formula>
    </cfRule>
    <cfRule type="cellIs" priority="6" operator="equal" aboveAverage="0" equalAverage="0" bottom="0" percent="0" rank="0" text="" dxfId="3">
      <formula>"Hoàn thành"</formula>
    </cfRule>
    <cfRule type="cellIs" priority="7" operator="equal" aboveAverage="0" equalAverage="0" bottom="0" percent="0" rank="0" text="" dxfId="4">
      <formula>"Trễ tiến độ"</formula>
    </cfRule>
  </conditionalFormatting>
  <conditionalFormatting sqref="A5:I34">
    <cfRule type="expression" priority="8" aboveAverage="0" equalAverage="0" bottom="0" percent="0" rank="0" text="" dxfId="5">
      <formula>AND($H5&lt;TODAY(),$J5&lt;&gt;"Hoàn thành")</formula>
    </cfRule>
  </conditionalFormatting>
  <dataValidations count="1">
    <dataValidation allowBlank="true" errorStyle="stop" operator="between" showDropDown="false" showErrorMessage="false" showInputMessage="false" sqref="J5:J34" type="list">
      <formula1>"Chưa bắt đầu,Đang thực hiện,Hoàn thành,Trễ tiến độ"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8"/>
  </cols>
  <sheetData>
    <row r="1" customFormat="false" ht="27.75" hidden="false" customHeight="true" outlineLevel="0" collapsed="false">
      <c r="A1" s="2" t="s">
        <v>170</v>
      </c>
      <c r="B1" s="2"/>
      <c r="C1" s="1"/>
    </row>
    <row r="2" customFormat="false" ht="9.75" hidden="false" customHeight="true" outlineLevel="0" collapsed="false">
      <c r="A2" s="48"/>
      <c r="B2" s="48"/>
      <c r="C2" s="1"/>
    </row>
    <row r="3" customFormat="false" ht="30" hidden="false" customHeight="true" outlineLevel="0" collapsed="false">
      <c r="A3" s="100"/>
      <c r="C3" s="1"/>
    </row>
    <row r="4" customFormat="false" ht="48" hidden="false" customHeight="true" outlineLevel="0" collapsed="false">
      <c r="A4" s="101" t="s">
        <v>171</v>
      </c>
      <c r="B4" s="102" t="s">
        <v>172</v>
      </c>
      <c r="C4" s="1"/>
    </row>
    <row r="5" customFormat="false" ht="30" hidden="false" customHeight="true" outlineLevel="0" collapsed="false">
      <c r="A5" s="100"/>
      <c r="C5" s="1"/>
    </row>
    <row r="6" customFormat="false" ht="48" hidden="false" customHeight="true" outlineLevel="0" collapsed="false">
      <c r="A6" s="101" t="s">
        <v>173</v>
      </c>
      <c r="B6" s="103" t="s">
        <v>174</v>
      </c>
      <c r="C6" s="1"/>
    </row>
    <row r="7" customFormat="false" ht="30" hidden="false" customHeight="true" outlineLevel="0" collapsed="false">
      <c r="A7" s="100"/>
      <c r="C7" s="1"/>
    </row>
    <row r="8" customFormat="false" ht="48" hidden="false" customHeight="true" outlineLevel="0" collapsed="false">
      <c r="A8" s="101" t="s">
        <v>175</v>
      </c>
      <c r="B8" s="102" t="s">
        <v>176</v>
      </c>
      <c r="C8" s="1"/>
    </row>
    <row r="9" customFormat="false" ht="15" hidden="false" customHeight="true" outlineLevel="0" collapsed="false">
      <c r="C9" s="1"/>
    </row>
    <row r="10" customFormat="false" ht="48" hidden="false" customHeight="true" outlineLevel="0" collapsed="false">
      <c r="A10" s="101" t="s">
        <v>177</v>
      </c>
      <c r="B10" s="103" t="s">
        <v>178</v>
      </c>
    </row>
    <row r="12" customFormat="false" ht="48" hidden="false" customHeight="true" outlineLevel="0" collapsed="false">
      <c r="A12" s="101" t="s">
        <v>179</v>
      </c>
      <c r="B12" s="102" t="s">
        <v>180</v>
      </c>
    </row>
    <row r="14" customFormat="false" ht="48" hidden="false" customHeight="true" outlineLevel="0" collapsed="false">
      <c r="A14" s="101" t="s">
        <v>181</v>
      </c>
      <c r="B14" s="103" t="s">
        <v>182</v>
      </c>
    </row>
  </sheetData>
  <mergeCells count="1">
    <mergeCell ref="A1:B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2026-07-10T07:37:48Z</dcterms:created>
  <dc:creator>openpyxl</dc:creator>
  <dc:description/>
  <dc:language>en-US</dc:language>
  <cp:lastModifiedBy/>
  <dcterms:modified xsi:type="dcterms:W3CDTF">2026-07-11T01:42:07Z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