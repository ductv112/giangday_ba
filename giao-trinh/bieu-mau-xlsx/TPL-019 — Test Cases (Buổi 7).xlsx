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D41B3F"/>
      <sz val="18"/>
    </font>
    <font>
      <name val="Calibri"/>
      <i val="1"/>
      <color rgb="006B6B6B"/>
      <sz val="11"/>
    </font>
    <font>
      <name val="Calibri"/>
      <b val="1"/>
      <color rgb="00FFFFFF"/>
      <sz val="11"/>
    </font>
    <font>
      <name val="Calibri"/>
      <i val="1"/>
      <color rgb="00999999"/>
      <sz val="10"/>
    </font>
    <font>
      <name val="Calibri"/>
      <b val="1"/>
      <color rgb="001A1A1A"/>
      <sz val="11"/>
    </font>
    <font>
      <b val="1"/>
    </font>
    <font>
      <b val="1"/>
      <color rgb="00008000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41B3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b val="1"/>
      </font>
      <fill>
        <patternFill patternType="solid">
          <fgColor rgb="00C6EFCE"/>
        </patternFill>
      </fill>
    </dxf>
    <dxf>
      <font>
        <b val="1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30" customWidth="1" min="6" max="6"/>
    <col width="35" customWidth="1" min="7" max="7"/>
    <col width="35" customWidth="1" min="8" max="8"/>
    <col width="30" customWidth="1" min="9" max="9"/>
    <col width="10" customWidth="1" min="10" max="10"/>
    <col width="14" customWidth="1" min="11" max="11"/>
    <col width="12" customWidth="1" min="12" max="12"/>
    <col width="25" customWidth="1" min="13" max="13"/>
  </cols>
  <sheetData>
    <row r="1" ht="30" customHeight="1">
      <c r="A1" s="1" t="inlineStr">
        <is>
          <t>TPL-019 — Test Cases Template</t>
        </is>
      </c>
    </row>
    <row r="2" ht="20" customHeight="1">
      <c r="A2" s="2" t="inlineStr">
        <is>
          <t>Mỗi US có 5-7 TC (positive + negative + edge case).</t>
        </is>
      </c>
    </row>
    <row r="4" ht="30" customHeight="1">
      <c r="A4" s="3" t="inlineStr">
        <is>
          <t>TC ID</t>
        </is>
      </c>
      <c r="B4" s="3" t="inlineStr">
        <is>
          <t>Linked US</t>
        </is>
      </c>
      <c r="C4" s="3" t="inlineStr">
        <is>
          <t>Linked UC</t>
        </is>
      </c>
      <c r="D4" s="3" t="inlineStr">
        <is>
          <t>Type</t>
        </is>
      </c>
      <c r="E4" s="3" t="inlineStr">
        <is>
          <t>Priority</t>
        </is>
      </c>
      <c r="F4" s="3" t="inlineStr">
        <is>
          <t>Pre-condition</t>
        </is>
      </c>
      <c r="G4" s="3" t="inlineStr">
        <is>
          <t>Steps</t>
        </is>
      </c>
      <c r="H4" s="3" t="inlineStr">
        <is>
          <t>Expected Result</t>
        </is>
      </c>
      <c r="I4" s="3" t="inlineStr">
        <is>
          <t>Actual</t>
        </is>
      </c>
      <c r="J4" s="3" t="inlineStr">
        <is>
          <t>Status</t>
        </is>
      </c>
      <c r="K4" s="3" t="inlineStr">
        <is>
          <t>Tester</t>
        </is>
      </c>
      <c r="L4" s="3" t="inlineStr">
        <is>
          <t>Test date</t>
        </is>
      </c>
      <c r="M4" s="3" t="inlineStr">
        <is>
          <t>Note</t>
        </is>
      </c>
    </row>
    <row r="5">
      <c r="A5" s="4" t="inlineStr">
        <is>
          <t>TC-042-01</t>
        </is>
      </c>
      <c r="B5" s="4" t="inlineStr">
        <is>
          <t>US-042</t>
        </is>
      </c>
      <c r="C5" s="4" t="inlineStr">
        <is>
          <t>UC-005</t>
        </is>
      </c>
      <c r="D5" s="4" t="inlineStr">
        <is>
          <t>Positive</t>
        </is>
      </c>
      <c r="E5" s="4" t="inlineStr">
        <is>
          <t>High</t>
        </is>
      </c>
      <c r="F5" s="4" t="inlineStr">
        <is>
          <t>NV kho đã login. Có MAC-001 status Available.</t>
        </is>
      </c>
      <c r="G5" s="4" t="inlineStr">
        <is>
          <t>1. Click Quét QR
2. Quét MAC-001
3. Chọn Nguyễn A
4. Confirm</t>
        </is>
      </c>
      <c r="H5" s="4" t="inlineStr">
        <is>
          <t>Tạo bản ghi · Email gửi 10s · Toast success</t>
        </is>
      </c>
      <c r="I5" s="4" t="inlineStr"/>
      <c r="J5" s="4" t="inlineStr"/>
      <c r="K5" s="4" t="inlineStr"/>
      <c r="L5" s="4" t="inlineStr"/>
      <c r="M5" s="4" t="inlineStr"/>
    </row>
    <row r="6">
      <c r="A6" s="4" t="inlineStr">
        <is>
          <t>TC-042-02</t>
        </is>
      </c>
      <c r="B6" s="4" t="inlineStr">
        <is>
          <t>US-042</t>
        </is>
      </c>
      <c r="C6" s="4" t="inlineStr">
        <is>
          <t>UC-005</t>
        </is>
      </c>
      <c r="D6" s="4" t="inlineStr">
        <is>
          <t>Negative</t>
        </is>
      </c>
      <c r="E6" s="4" t="inlineStr">
        <is>
          <t>High</t>
        </is>
      </c>
      <c r="F6" s="4" t="inlineStr">
        <is>
          <t>NV kho đã login. QR FAKE-QR-999 không có trong hệ thống.</t>
        </is>
      </c>
      <c r="G6" s="4" t="inlineStr">
        <is>
          <t>1. Click Quét QR
2. Quét FAKE-QR-999</t>
        </is>
      </c>
      <c r="H6" s="4" t="inlineStr">
        <is>
          <t>Toast lỗi "QR không hợp lệ" · Không tạo record</t>
        </is>
      </c>
      <c r="I6" s="4" t="inlineStr"/>
      <c r="J6" s="4" t="inlineStr"/>
      <c r="K6" s="4" t="inlineStr"/>
      <c r="L6" s="4" t="inlineStr"/>
      <c r="M6" s="4" t="inlineStr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2">
      <c r="A52" s="6" t="inlineStr">
        <is>
          <t>SUMMARY</t>
        </is>
      </c>
    </row>
    <row r="53">
      <c r="A53" s="7" t="inlineStr">
        <is>
          <t>Total TC</t>
        </is>
      </c>
      <c r="B53">
        <f>COUNTA(A5:A50)</f>
        <v/>
      </c>
    </row>
    <row r="54">
      <c r="A54" s="8" t="inlineStr">
        <is>
          <t>Pass</t>
        </is>
      </c>
      <c r="B54">
        <f>COUNTIF(J5:J50,"Pass")</f>
        <v/>
      </c>
    </row>
    <row r="55">
      <c r="A55" s="9" t="inlineStr">
        <is>
          <t>Fail</t>
        </is>
      </c>
      <c r="B55">
        <f>COUNTIF(J5:J50,"Fail")</f>
        <v/>
      </c>
    </row>
    <row r="56">
      <c r="A56" s="7" t="inlineStr">
        <is>
          <t>Pass rate</t>
        </is>
      </c>
      <c r="B56" s="10">
        <f>IFERROR(B54/B53,0)</f>
        <v/>
      </c>
    </row>
  </sheetData>
  <mergeCells count="3">
    <mergeCell ref="A2:L2"/>
    <mergeCell ref="A1:L1"/>
    <mergeCell ref="A52:E52"/>
  </mergeCells>
  <conditionalFormatting sqref="D5:D50">
    <cfRule type="cellIs" priority="1" operator="equal" dxfId="0">
      <formula>"Positive"</formula>
    </cfRule>
    <cfRule type="cellIs" priority="2" operator="equal" dxfId="1">
      <formula>"Negative"</formula>
    </cfRule>
    <cfRule type="cellIs" priority="3" operator="equal" dxfId="2">
      <formula>"Edge case"</formula>
    </cfRule>
  </conditionalFormatting>
  <conditionalFormatting sqref="J5:J50">
    <cfRule type="cellIs" priority="4" operator="equal" dxfId="3">
      <formula>"Pass"</formula>
    </cfRule>
    <cfRule type="cellIs" priority="5" operator="equal" dxfId="4">
      <formula>"Fail"</formula>
    </cfRule>
  </conditionalFormatting>
  <dataValidations count="3">
    <dataValidation sqref="D5:D50" showDropDown="0" showInputMessage="0" showErrorMessage="0" allowBlank="1" type="list">
      <formula1>"Positive,Negative,Edge case"</formula1>
    </dataValidation>
    <dataValidation sqref="E5:E50" showDropDown="0" showInputMessage="0" showErrorMessage="0" allowBlank="1" type="list">
      <formula1>"High,Medium,Low"</formula1>
    </dataValidation>
    <dataValidation sqref="J5:J50" showDropDown="0" showInputMessage="0" showErrorMessage="0" allowBlank="1" type="list">
      <formula1>"Pass,Fail,Block,N/A"</formula1>
    </dataValidation>
  </dataValidations>
  <pageMargins left="0.75" right="0.75" top="1" bottom="1" header="0.5" footer="0.5"/>
  <headerFooter>
    <oddHeader>&amp;L&amp;9 iPMAC · Khoá Ready for BA · TPL-019&amp;R&amp;9 Buổi 7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2026-05-05T07:04:50Z</dcterms:created>
  <dcterms:modified xmlns:dcterms="http://purl.org/dc/terms/" xmlns:xsi="http://www.w3.org/2001/XMLSchema-instance" xsi:type="dcterms:W3CDTF">2026-05-05T07:04:50Z</dcterms:modified>
</cp:coreProperties>
</file>